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Atalhos\Pratica-excel\"/>
    </mc:Choice>
  </mc:AlternateContent>
  <xr:revisionPtr revIDLastSave="0" documentId="13_ncr:1_{258E82C0-F7A4-4C95-9A27-F4CC09146CB3}" xr6:coauthVersionLast="47" xr6:coauthVersionMax="47" xr10:uidLastSave="{00000000-0000-0000-0000-000000000000}"/>
  <bookViews>
    <workbookView xWindow="-120" yWindow="-120" windowWidth="24240" windowHeight="13140" activeTab="8" xr2:uid="{890CE7BA-B873-43E6-A00E-A3342D9A1C89}"/>
  </bookViews>
  <sheets>
    <sheet name="Planilha1" sheetId="1" r:id="rId1"/>
    <sheet name="Planilha2" sheetId="3" r:id="rId2"/>
    <sheet name="Planilha3" sheetId="4" r:id="rId3"/>
    <sheet name="Planilha4" sheetId="5" r:id="rId4"/>
    <sheet name="Planilha5" sheetId="6" r:id="rId5"/>
    <sheet name="Planilha6" sheetId="7" r:id="rId6"/>
    <sheet name="Planilha7" sheetId="8" r:id="rId7"/>
    <sheet name="Planilha8" sheetId="9" r:id="rId8"/>
    <sheet name="Planilha9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0" l="1"/>
  <c r="D19" i="10"/>
  <c r="E19" i="10"/>
  <c r="B19" i="10"/>
  <c r="H13" i="10"/>
  <c r="H18" i="10"/>
  <c r="H8" i="10"/>
  <c r="G13" i="10"/>
  <c r="G14" i="10"/>
  <c r="H14" i="10" s="1"/>
  <c r="G15" i="10"/>
  <c r="H15" i="10" s="1"/>
  <c r="G18" i="10"/>
  <c r="G8" i="10"/>
  <c r="F9" i="10"/>
  <c r="G9" i="10" s="1"/>
  <c r="H9" i="10" s="1"/>
  <c r="F10" i="10"/>
  <c r="G10" i="10" s="1"/>
  <c r="H10" i="10" s="1"/>
  <c r="F11" i="10"/>
  <c r="G11" i="10" s="1"/>
  <c r="H11" i="10" s="1"/>
  <c r="F12" i="10"/>
  <c r="G12" i="10" s="1"/>
  <c r="H12" i="10" s="1"/>
  <c r="F13" i="10"/>
  <c r="F14" i="10"/>
  <c r="F15" i="10"/>
  <c r="F16" i="10"/>
  <c r="G16" i="10" s="1"/>
  <c r="H16" i="10" s="1"/>
  <c r="F17" i="10"/>
  <c r="G17" i="10" s="1"/>
  <c r="H17" i="10" s="1"/>
  <c r="F18" i="10"/>
  <c r="F8" i="10"/>
  <c r="E9" i="10"/>
  <c r="E10" i="10"/>
  <c r="E11" i="10"/>
  <c r="E12" i="10"/>
  <c r="E13" i="10"/>
  <c r="E14" i="10"/>
  <c r="E15" i="10"/>
  <c r="E16" i="10"/>
  <c r="E17" i="10"/>
  <c r="E18" i="10"/>
  <c r="E8" i="10"/>
  <c r="B22" i="9"/>
  <c r="B21" i="9"/>
  <c r="B20" i="9"/>
  <c r="B19" i="9"/>
  <c r="G6" i="8"/>
  <c r="D3" i="8"/>
  <c r="D4" i="8"/>
  <c r="D5" i="8"/>
  <c r="D6" i="8"/>
  <c r="D7" i="8"/>
  <c r="D8" i="8"/>
  <c r="B16" i="7" a="1"/>
  <c r="B16" i="7" s="1"/>
  <c r="C16" i="7" a="1"/>
  <c r="C16" i="7" s="1"/>
  <c r="F17" i="7"/>
  <c r="C14" i="7"/>
  <c r="C15" i="7" s="1"/>
  <c r="D14" i="7"/>
  <c r="D15" i="7" s="1"/>
  <c r="D16" i="7" s="1" a="1"/>
  <c r="D16" i="7" s="1"/>
  <c r="E14" i="7"/>
  <c r="E15" i="7" s="1"/>
  <c r="E16" i="7" s="1" a="1"/>
  <c r="E16" i="7" s="1"/>
  <c r="B14" i="7"/>
  <c r="B15" i="7" s="1"/>
  <c r="F8" i="7"/>
  <c r="F9" i="7"/>
  <c r="F10" i="7"/>
  <c r="F11" i="7"/>
  <c r="F12" i="7"/>
  <c r="F7" i="7"/>
  <c r="F4" i="7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9" i="6"/>
  <c r="C2" i="6"/>
  <c r="E5" i="5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5" i="5"/>
  <c r="H4" i="4"/>
  <c r="H5" i="4"/>
  <c r="H6" i="4"/>
  <c r="H7" i="4"/>
  <c r="H8" i="4"/>
  <c r="H9" i="4"/>
  <c r="H10" i="4"/>
  <c r="H11" i="4"/>
  <c r="G4" i="4"/>
  <c r="G5" i="4"/>
  <c r="G6" i="4"/>
  <c r="G7" i="4"/>
  <c r="G8" i="4"/>
  <c r="G9" i="4"/>
  <c r="G10" i="4"/>
  <c r="G11" i="4"/>
  <c r="F5" i="4"/>
  <c r="F6" i="4"/>
  <c r="F7" i="4"/>
  <c r="F8" i="4"/>
  <c r="F9" i="4"/>
  <c r="F10" i="4"/>
  <c r="F11" i="4"/>
  <c r="F4" i="4"/>
  <c r="C18" i="3"/>
  <c r="D18" i="3"/>
  <c r="E18" i="3"/>
  <c r="F18" i="3"/>
  <c r="G18" i="3"/>
  <c r="B18" i="3"/>
  <c r="D16" i="3"/>
  <c r="E16" i="3"/>
  <c r="F16" i="3"/>
  <c r="G16" i="3"/>
  <c r="C16" i="3"/>
  <c r="B16" i="3"/>
  <c r="D21" i="1"/>
  <c r="C21" i="1"/>
  <c r="E21" i="1"/>
  <c r="E11" i="1"/>
  <c r="D11" i="1"/>
  <c r="B23" i="1" s="1"/>
  <c r="C11" i="1"/>
  <c r="I14" i="1"/>
  <c r="I15" i="1"/>
  <c r="I16" i="1"/>
  <c r="I17" i="1"/>
  <c r="I18" i="1"/>
  <c r="I19" i="1"/>
  <c r="H14" i="1"/>
  <c r="H15" i="1"/>
  <c r="H16" i="1"/>
  <c r="H17" i="1"/>
  <c r="H18" i="1"/>
  <c r="H19" i="1"/>
  <c r="G14" i="1"/>
  <c r="G15" i="1"/>
  <c r="G16" i="1"/>
  <c r="G17" i="1"/>
  <c r="G18" i="1"/>
  <c r="G19" i="1"/>
  <c r="F14" i="1"/>
  <c r="F15" i="1"/>
  <c r="F16" i="1"/>
  <c r="F17" i="1"/>
  <c r="F18" i="1"/>
  <c r="F19" i="1"/>
  <c r="H4" i="1"/>
  <c r="H5" i="1"/>
  <c r="H6" i="1"/>
  <c r="H7" i="1"/>
  <c r="H8" i="1"/>
  <c r="H9" i="1"/>
  <c r="I4" i="1"/>
  <c r="I5" i="1"/>
  <c r="I6" i="1"/>
  <c r="I7" i="1"/>
  <c r="I8" i="1"/>
  <c r="I9" i="1"/>
  <c r="G4" i="1"/>
  <c r="G5" i="1"/>
  <c r="G6" i="1"/>
  <c r="G7" i="1"/>
  <c r="G8" i="1"/>
  <c r="G9" i="1"/>
  <c r="F4" i="1"/>
  <c r="F5" i="1"/>
  <c r="F6" i="1"/>
  <c r="F7" i="1"/>
  <c r="F8" i="1"/>
  <c r="F9" i="1"/>
  <c r="G19" i="10" l="1"/>
  <c r="F19" i="10"/>
  <c r="H1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<sst xmlns="http://schemas.openxmlformats.org/spreadsheetml/2006/main" count="249" uniqueCount="195">
  <si>
    <t>Empresa Nacional S/A</t>
  </si>
  <si>
    <t>Código</t>
  </si>
  <si>
    <t>Produto</t>
  </si>
  <si>
    <t>Jan</t>
  </si>
  <si>
    <t>Fev</t>
  </si>
  <si>
    <t>Mar</t>
  </si>
  <si>
    <t>Total 1º Trim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</si>
  <si>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</si>
  <si>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</si>
  <si>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</si>
  <si>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</si>
  <si>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</si>
  <si>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</si>
  <si>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</si>
  <si>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</si>
  <si>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</si>
  <si>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</si>
  <si>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Total 2º Trim</t>
  </si>
  <si>
    <t>Total do Semestre</t>
  </si>
  <si>
    <t>CONTAS A PAGAR</t>
  </si>
  <si>
    <t>SALÁRIO</t>
  </si>
  <si>
    <t>JANEIRO</t>
  </si>
  <si>
    <t>FEVEREIRO</t>
  </si>
  <si>
    <t>MARÇO</t>
  </si>
  <si>
    <t>ABRIL</t>
  </si>
  <si>
    <t>MAIO</t>
  </si>
  <si>
    <t>JUNHO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</si>
  <si>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</si>
  <si>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</si>
  <si>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</si>
  <si>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</si>
  <si>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</si>
  <si>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</si>
  <si>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</si>
  <si>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</si>
  <si>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</si>
  <si>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</si>
  <si>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</si>
  <si>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Araras Informática - Hardware e Software Rua São Franciso de Assis, 123 - Araras SP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</si>
  <si>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</si>
  <si>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</si>
  <si>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</si>
  <si>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</si>
  <si>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</si>
  <si>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</si>
  <si>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</si>
  <si>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</si>
  <si>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</si>
  <si>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</si>
  <si>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</si>
  <si>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</si>
  <si>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</si>
  <si>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</si>
  <si>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</si>
  <si>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</si>
  <si>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Valor do Dólar</t>
  </si>
  <si>
    <t>Papelaria Papel Branco</t>
  </si>
  <si>
    <t>Produtos</t>
  </si>
  <si>
    <t>Qtde</t>
  </si>
  <si>
    <t>Preço Unit.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</si>
  <si>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</si>
  <si>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</si>
  <si>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</si>
  <si>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</si>
  <si>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</si>
  <si>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</si>
  <si>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</si>
  <si>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</si>
  <si>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</si>
  <si>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</si>
  <si>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</si>
  <si>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</si>
  <si>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</si>
  <si>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</si>
  <si>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</si>
  <si>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</si>
  <si>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</si>
  <si>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</si>
  <si>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</si>
  <si>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</si>
  <si>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</si>
  <si>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Até 1000,00</t>
  </si>
  <si>
    <t>mais 1000,00</t>
  </si>
  <si>
    <t>Projeção para o ano de 2003</t>
  </si>
  <si>
    <t>Receita Bruta</t>
  </si>
  <si>
    <t>Jan-Mar</t>
  </si>
  <si>
    <t>Abr-Jun</t>
  </si>
  <si>
    <t>Jul-Set</t>
  </si>
  <si>
    <t>Out-Dez</t>
  </si>
  <si>
    <t>Total do Ano</t>
  </si>
  <si>
    <t>Despesa Líquida</t>
  </si>
  <si>
    <t>Salários</t>
  </si>
  <si>
    <t>Juros</t>
  </si>
  <si>
    <t>Aluguel</t>
  </si>
  <si>
    <t>Propaganda</t>
  </si>
  <si>
    <t>Suprimentos</t>
  </si>
  <si>
    <t>Diversos</t>
  </si>
  <si>
    <t>Total do Trim.</t>
  </si>
  <si>
    <t>Receita líquida</t>
  </si>
  <si>
    <t>Situação</t>
  </si>
  <si>
    <t>Valor Acumulado do ano de despesas</t>
  </si>
  <si>
    <t>Controle de Vendas</t>
  </si>
  <si>
    <t>Resultado</t>
  </si>
  <si>
    <t>A</t>
  </si>
  <si>
    <t>B</t>
  </si>
  <si>
    <t>C</t>
  </si>
  <si>
    <t>D</t>
  </si>
  <si>
    <t>E</t>
  </si>
  <si>
    <t>F</t>
  </si>
  <si>
    <t>Controle de Idade</t>
  </si>
  <si>
    <t>Idade do Candidato</t>
  </si>
  <si>
    <t>Idade Mínima</t>
  </si>
  <si>
    <t>Idade Máxima</t>
  </si>
  <si>
    <t>Endereço</t>
  </si>
  <si>
    <t>Bairro</t>
  </si>
  <si>
    <t>Cidade</t>
  </si>
  <si>
    <t>Estado</t>
  </si>
  <si>
    <t>Ana</t>
  </si>
  <si>
    <t>Érica</t>
  </si>
  <si>
    <t>Fernanda</t>
  </si>
  <si>
    <t>Katiane</t>
  </si>
  <si>
    <t>Lilian</t>
  </si>
  <si>
    <t>Lucimara</t>
  </si>
  <si>
    <t>Pedro</t>
  </si>
  <si>
    <t>Roberto</t>
  </si>
  <si>
    <t>Rubens</t>
  </si>
  <si>
    <t>Sônia</t>
  </si>
  <si>
    <t>Tatiane</t>
  </si>
  <si>
    <t>SP</t>
  </si>
  <si>
    <t>BA</t>
  </si>
  <si>
    <t>PE</t>
  </si>
  <si>
    <t>SC</t>
  </si>
  <si>
    <t>AM</t>
  </si>
  <si>
    <t>RJ</t>
  </si>
  <si>
    <t>RS</t>
  </si>
  <si>
    <t>MG</t>
  </si>
  <si>
    <t>Leme</t>
  </si>
  <si>
    <t>Araras</t>
  </si>
  <si>
    <t>Salvador</t>
  </si>
  <si>
    <t>Campinas</t>
  </si>
  <si>
    <t>Ubatuba</t>
  </si>
  <si>
    <t>Recife</t>
  </si>
  <si>
    <t>Rio Claro</t>
  </si>
  <si>
    <t>Ribeirão Preto</t>
  </si>
  <si>
    <t>Florianópolis</t>
  </si>
  <si>
    <t>Manaus</t>
  </si>
  <si>
    <t>Rio de Janeiro</t>
  </si>
  <si>
    <t>Porto Alegre</t>
  </si>
  <si>
    <t>Poços de Caldas</t>
  </si>
  <si>
    <t>Centro</t>
  </si>
  <si>
    <t>São Benedito</t>
  </si>
  <si>
    <t>Jd. Nova Campinas</t>
  </si>
  <si>
    <t>Praia Grande</t>
  </si>
  <si>
    <t>Jd. Europa</t>
  </si>
  <si>
    <t>Vila Tubarão</t>
  </si>
  <si>
    <t>Jd. Paulista</t>
  </si>
  <si>
    <t>Ibirapuera</t>
  </si>
  <si>
    <t>Botafogo</t>
  </si>
  <si>
    <t>Belvedere</t>
  </si>
  <si>
    <t>Vila Cláudia</t>
  </si>
  <si>
    <t>Parque Industrial</t>
  </si>
  <si>
    <t>Rodovia Anhanguera, km 180</t>
  </si>
  <si>
    <t>R. Antônio de Castro, 362</t>
  </si>
  <si>
    <t>R. Tiradentes, 123</t>
  </si>
  <si>
    <t>Av. Orozimbo Maia, 987</t>
  </si>
  <si>
    <t>Rodovia Rio/São Paulo, km 77</t>
  </si>
  <si>
    <t>R. Júlio Mesquita, 66</t>
  </si>
  <si>
    <t>R. 5, 78</t>
  </si>
  <si>
    <t>R. Lambarildo Peixe, 812</t>
  </si>
  <si>
    <t>Av. dos Jequitibas, 11</t>
  </si>
  <si>
    <t>Av. Ipiranga, 568</t>
  </si>
  <si>
    <t>R. Sergipe, 765</t>
  </si>
  <si>
    <t>Av. Limeira, 98</t>
  </si>
  <si>
    <t>Al. dos Laranjais, 99</t>
  </si>
  <si>
    <t>R. das Quaresmeiras, 810</t>
  </si>
  <si>
    <t>R. Minas Gerais, 67</t>
  </si>
  <si>
    <t>Tabela de Preços</t>
  </si>
  <si>
    <t>Porc. De Lucro</t>
  </si>
  <si>
    <t>Empresa Papelaria Livro Caro R. Tiradentes, 1234 Araras/SP</t>
  </si>
  <si>
    <t>Estoque</t>
  </si>
  <si>
    <t xml:space="preserve">Custo </t>
  </si>
  <si>
    <t>Venda</t>
  </si>
  <si>
    <t>Total</t>
  </si>
  <si>
    <t>Custo</t>
  </si>
  <si>
    <t>Reais</t>
  </si>
  <si>
    <t>Dólar</t>
  </si>
  <si>
    <t>Borracha</t>
  </si>
  <si>
    <t>Caderno 100 fls</t>
  </si>
  <si>
    <t>Caderno 200 fls</t>
  </si>
  <si>
    <t>Lapiseira</t>
  </si>
  <si>
    <t>Régua 15 cm</t>
  </si>
  <si>
    <t>Régua 30 cm</t>
  </si>
  <si>
    <t>Giz de Cera</t>
  </si>
  <si>
    <t>Cola</t>
  </si>
  <si>
    <t>Compasso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</si>
</sst>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5999938962981048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90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4" fontId="0" fillId="0" borderId="10" xfId="0" applyNumberFormat="1" applyBorder="1"/>
    <xf numFmtId="0" fontId="0" fillId="0" borderId="5" xfId="0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3" borderId="1" xfId="0" applyFont="1" applyFill="1" applyBorder="1"/>
    <xf numFmtId="4" fontId="0" fillId="3" borderId="1" xfId="0" applyNumberFormat="1" applyFont="1" applyFill="1" applyBorder="1"/>
    <xf numFmtId="0" fontId="0" fillId="2" borderId="1" xfId="0" applyFont="1" applyFill="1" applyBorder="1"/>
    <xf numFmtId="4" fontId="0" fillId="2" borderId="1" xfId="0" applyNumberFormat="1" applyFont="1" applyFill="1" applyBorder="1"/>
    <xf numFmtId="0" fontId="1" fillId="0" borderId="0" xfId="0" applyFont="1" applyFill="1"/>
    <xf numFmtId="4" fontId="0" fillId="0" borderId="2" xfId="0" applyNumberFormat="1" applyBorder="1"/>
    <xf numFmtId="0" fontId="0" fillId="3" borderId="4" xfId="0" applyFont="1" applyFill="1" applyBorder="1"/>
    <xf numFmtId="0" fontId="0" fillId="2" borderId="4" xfId="0" applyFont="1" applyFill="1" applyBorder="1"/>
    <xf numFmtId="4" fontId="0" fillId="3" borderId="2" xfId="0" applyNumberFormat="1" applyFont="1" applyFill="1" applyBorder="1"/>
    <xf numFmtId="4" fontId="0" fillId="2" borderId="2" xfId="0" applyNumberFormat="1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2" borderId="6" xfId="0" applyFont="1" applyFill="1" applyBorder="1"/>
    <xf numFmtId="0" fontId="0" fillId="2" borderId="10" xfId="0" applyFont="1" applyFill="1" applyBorder="1"/>
    <xf numFmtId="4" fontId="0" fillId="2" borderId="10" xfId="0" applyNumberFormat="1" applyFont="1" applyFill="1" applyBorder="1"/>
    <xf numFmtId="4" fontId="0" fillId="2" borderId="5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4" fontId="0" fillId="3" borderId="21" xfId="0" applyNumberFormat="1" applyFont="1" applyFill="1" applyBorder="1"/>
    <xf numFmtId="4" fontId="0" fillId="3" borderId="22" xfId="0" applyNumberFormat="1" applyFont="1" applyFill="1" applyBorder="1"/>
    <xf numFmtId="0" fontId="1" fillId="5" borderId="20" xfId="0" applyFont="1" applyFill="1" applyBorder="1" applyAlignment="1">
      <alignment wrapText="1"/>
    </xf>
    <xf numFmtId="4" fontId="0" fillId="3" borderId="22" xfId="0" applyNumberFormat="1" applyFont="1" applyFill="1" applyBorder="1" applyAlignment="1">
      <alignment vertical="center" wrapText="1"/>
    </xf>
    <xf numFmtId="0" fontId="0" fillId="0" borderId="0" xfId="0" applyBorder="1"/>
    <xf numFmtId="0" fontId="0" fillId="0" borderId="25" xfId="0" applyBorder="1"/>
    <xf numFmtId="0" fontId="0" fillId="0" borderId="26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5" xfId="0" applyNumberFormat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164" fontId="0" fillId="7" borderId="18" xfId="0" applyNumberFormat="1" applyFill="1" applyBorder="1"/>
    <xf numFmtId="164" fontId="0" fillId="7" borderId="19" xfId="0" applyNumberFormat="1" applyFill="1" applyBorder="1"/>
    <xf numFmtId="164" fontId="0" fillId="7" borderId="1" xfId="0" applyNumberFormat="1" applyFill="1" applyBorder="1"/>
    <xf numFmtId="164" fontId="0" fillId="7" borderId="24" xfId="0" applyNumberFormat="1" applyFill="1" applyBorder="1"/>
    <xf numFmtId="164" fontId="0" fillId="8" borderId="1" xfId="0" applyNumberFormat="1" applyFill="1" applyBorder="1"/>
    <xf numFmtId="164" fontId="0" fillId="8" borderId="24" xfId="0" applyNumberFormat="1" applyFill="1" applyBorder="1"/>
    <xf numFmtId="164" fontId="0" fillId="8" borderId="18" xfId="0" applyNumberFormat="1" applyFill="1" applyBorder="1"/>
    <xf numFmtId="164" fontId="0" fillId="8" borderId="19" xfId="0" applyNumberFormat="1" applyFill="1" applyBorder="1"/>
    <xf numFmtId="0" fontId="6" fillId="6" borderId="14" xfId="0" applyFont="1" applyFill="1" applyBorder="1"/>
    <xf numFmtId="0" fontId="6" fillId="6" borderId="15" xfId="0" applyFont="1" applyFill="1" applyBorder="1"/>
    <xf numFmtId="0" fontId="6" fillId="6" borderId="16" xfId="0" applyFont="1" applyFill="1" applyBorder="1"/>
    <xf numFmtId="0" fontId="2" fillId="6" borderId="20" xfId="0" applyFont="1" applyFill="1" applyBorder="1"/>
    <xf numFmtId="164" fontId="0" fillId="9" borderId="21" xfId="0" applyNumberFormat="1" applyFill="1" applyBorder="1"/>
    <xf numFmtId="164" fontId="0" fillId="0" borderId="0" xfId="0" applyNumberFormat="1"/>
    <xf numFmtId="10" fontId="0" fillId="0" borderId="1" xfId="0" applyNumberFormat="1" applyBorder="1"/>
    <xf numFmtId="44" fontId="0" fillId="0" borderId="1" xfId="1" applyFont="1" applyBorder="1"/>
    <xf numFmtId="10" fontId="0" fillId="0" borderId="2" xfId="0" applyNumberFormat="1" applyBorder="1"/>
    <xf numFmtId="44" fontId="0" fillId="0" borderId="9" xfId="1" applyFont="1" applyBorder="1"/>
    <xf numFmtId="0" fontId="0" fillId="0" borderId="4" xfId="0" applyBorder="1" applyAlignment="1">
      <alignment horizontal="center"/>
    </xf>
    <xf numFmtId="0" fontId="1" fillId="10" borderId="8" xfId="0" applyFont="1" applyFill="1" applyBorder="1"/>
    <xf numFmtId="0" fontId="1" fillId="10" borderId="9" xfId="0" applyFont="1" applyFill="1" applyBorder="1"/>
    <xf numFmtId="0" fontId="1" fillId="10" borderId="7" xfId="0" applyFont="1" applyFill="1" applyBorder="1"/>
    <xf numFmtId="0" fontId="0" fillId="0" borderId="6" xfId="0" applyBorder="1" applyAlignment="1">
      <alignment horizontal="center"/>
    </xf>
    <xf numFmtId="10" fontId="0" fillId="0" borderId="10" xfId="0" applyNumberFormat="1" applyBorder="1"/>
    <xf numFmtId="10" fontId="0" fillId="0" borderId="5" xfId="0" applyNumberFormat="1" applyBorder="1"/>
    <xf numFmtId="44" fontId="0" fillId="0" borderId="10" xfId="1" applyFont="1" applyBorder="1"/>
    <xf numFmtId="44" fontId="0" fillId="0" borderId="4" xfId="1" applyFont="1" applyBorder="1"/>
    <xf numFmtId="44" fontId="0" fillId="0" borderId="6" xfId="1" applyFont="1" applyBorder="1"/>
    <xf numFmtId="0" fontId="1" fillId="10" borderId="20" xfId="0" applyFont="1" applyFill="1" applyBorder="1"/>
    <xf numFmtId="164" fontId="0" fillId="11" borderId="22" xfId="0" applyNumberFormat="1" applyFill="1" applyBorder="1"/>
    <xf numFmtId="0" fontId="0" fillId="11" borderId="1" xfId="0" applyFill="1" applyBorder="1"/>
    <xf numFmtId="44" fontId="0" fillId="11" borderId="1" xfId="1" applyFont="1" applyFill="1" applyBorder="1"/>
    <xf numFmtId="0" fontId="0" fillId="11" borderId="18" xfId="0" applyFill="1" applyBorder="1"/>
    <xf numFmtId="44" fontId="0" fillId="11" borderId="18" xfId="1" applyFont="1" applyFill="1" applyBorder="1"/>
    <xf numFmtId="0" fontId="0" fillId="12" borderId="1" xfId="0" applyFill="1" applyBorder="1"/>
    <xf numFmtId="44" fontId="0" fillId="12" borderId="1" xfId="1" applyFont="1" applyFill="1" applyBorder="1"/>
    <xf numFmtId="165" fontId="0" fillId="11" borderId="2" xfId="0" applyNumberFormat="1" applyFill="1" applyBorder="1"/>
    <xf numFmtId="165" fontId="0" fillId="12" borderId="2" xfId="0" applyNumberFormat="1" applyFill="1" applyBorder="1"/>
    <xf numFmtId="165" fontId="0" fillId="11" borderId="30" xfId="0" applyNumberFormat="1" applyFill="1" applyBorder="1"/>
    <xf numFmtId="0" fontId="1" fillId="10" borderId="31" xfId="0" applyFont="1" applyFill="1" applyBorder="1"/>
    <xf numFmtId="44" fontId="0" fillId="0" borderId="0" xfId="0" applyNumberFormat="1"/>
    <xf numFmtId="44" fontId="0" fillId="0" borderId="2" xfId="1" applyFont="1" applyBorder="1"/>
    <xf numFmtId="44" fontId="0" fillId="0" borderId="5" xfId="1" applyFont="1" applyBorder="1"/>
    <xf numFmtId="0" fontId="0" fillId="6" borderId="8" xfId="0" applyFill="1" applyBorder="1"/>
    <xf numFmtId="0" fontId="0" fillId="6" borderId="9" xfId="0" applyFill="1" applyBorder="1"/>
    <xf numFmtId="0" fontId="0" fillId="6" borderId="7" xfId="0" applyFill="1" applyBorder="1"/>
    <xf numFmtId="0" fontId="2" fillId="6" borderId="1" xfId="0" applyFont="1" applyFill="1" applyBorder="1"/>
    <xf numFmtId="9" fontId="0" fillId="7" borderId="1" xfId="0" applyNumberFormat="1" applyFill="1" applyBorder="1"/>
    <xf numFmtId="9" fontId="0" fillId="9" borderId="1" xfId="0" applyNumberFormat="1" applyFill="1" applyBorder="1"/>
    <xf numFmtId="0" fontId="0" fillId="9" borderId="1" xfId="0" applyFill="1" applyBorder="1"/>
    <xf numFmtId="4" fontId="0" fillId="9" borderId="1" xfId="0" applyNumberFormat="1" applyFill="1" applyBorder="1"/>
    <xf numFmtId="0" fontId="2" fillId="6" borderId="1" xfId="0" applyFont="1" applyFill="1" applyBorder="1" applyAlignment="1">
      <alignment horizontal="center"/>
    </xf>
    <xf numFmtId="0" fontId="8" fillId="6" borderId="23" xfId="0" applyFont="1" applyFill="1" applyBorder="1"/>
    <xf numFmtId="0" fontId="8" fillId="6" borderId="17" xfId="0" applyFont="1" applyFill="1" applyBorder="1"/>
    <xf numFmtId="0" fontId="0" fillId="7" borderId="17" xfId="0" applyFont="1" applyFill="1" applyBorder="1"/>
    <xf numFmtId="0" fontId="0" fillId="8" borderId="1" xfId="0" applyFill="1" applyBorder="1"/>
    <xf numFmtId="4" fontId="0" fillId="8" borderId="1" xfId="0" applyNumberFormat="1" applyFill="1" applyBorder="1"/>
    <xf numFmtId="4" fontId="0" fillId="7" borderId="1" xfId="0" applyNumberFormat="1" applyFont="1" applyFill="1" applyBorder="1" applyAlignment="1"/>
    <xf numFmtId="0" fontId="0" fillId="0" borderId="0" xfId="0" applyFill="1" applyBorder="1"/>
    <xf numFmtId="0" fontId="0" fillId="12" borderId="23" xfId="0" applyFill="1" applyBorder="1"/>
    <xf numFmtId="0" fontId="0" fillId="12" borderId="24" xfId="0" applyFill="1" applyBorder="1"/>
    <xf numFmtId="0" fontId="0" fillId="3" borderId="24" xfId="0" applyFont="1" applyFill="1" applyBorder="1"/>
    <xf numFmtId="0" fontId="0" fillId="3" borderId="23" xfId="0" applyFont="1" applyFill="1" applyBorder="1"/>
    <xf numFmtId="0" fontId="0" fillId="12" borderId="4" xfId="0" applyFill="1" applyBorder="1"/>
    <xf numFmtId="4" fontId="0" fillId="12" borderId="1" xfId="0" applyNumberFormat="1" applyFill="1" applyBorder="1"/>
    <xf numFmtId="0" fontId="0" fillId="12" borderId="2" xfId="0" applyFill="1" applyBorder="1"/>
    <xf numFmtId="0" fontId="0" fillId="12" borderId="6" xfId="0" applyFill="1" applyBorder="1"/>
    <xf numFmtId="4" fontId="0" fillId="12" borderId="10" xfId="0" applyNumberFormat="1" applyFill="1" applyBorder="1"/>
    <xf numFmtId="0" fontId="0" fillId="12" borderId="5" xfId="0" applyFill="1" applyBorder="1"/>
    <xf numFmtId="0" fontId="0" fillId="11" borderId="4" xfId="0" applyFill="1" applyBorder="1"/>
    <xf numFmtId="4" fontId="0" fillId="11" borderId="1" xfId="0" applyNumberFormat="1" applyFill="1" applyBorder="1"/>
    <xf numFmtId="0" fontId="0" fillId="11" borderId="2" xfId="0" applyFill="1" applyBorder="1"/>
    <xf numFmtId="0" fontId="0" fillId="11" borderId="17" xfId="0" applyFill="1" applyBorder="1"/>
    <xf numFmtId="0" fontId="0" fillId="11" borderId="19" xfId="0" applyFill="1" applyBorder="1"/>
    <xf numFmtId="0" fontId="0" fillId="11" borderId="22" xfId="0" applyFill="1" applyBorder="1"/>
    <xf numFmtId="0" fontId="9" fillId="10" borderId="8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left"/>
    </xf>
    <xf numFmtId="0" fontId="1" fillId="10" borderId="1" xfId="0" applyFont="1" applyFill="1" applyBorder="1"/>
    <xf numFmtId="0" fontId="0" fillId="0" borderId="2" xfId="0" applyBorder="1"/>
    <xf numFmtId="0" fontId="2" fillId="6" borderId="14" xfId="0" applyFont="1" applyFill="1" applyBorder="1"/>
    <xf numFmtId="0" fontId="2" fillId="6" borderId="17" xfId="0" applyFont="1" applyFill="1" applyBorder="1"/>
    <xf numFmtId="0" fontId="2" fillId="6" borderId="32" xfId="0" applyFont="1" applyFill="1" applyBorder="1"/>
    <xf numFmtId="0" fontId="0" fillId="9" borderId="31" xfId="0" applyFill="1" applyBorder="1"/>
    <xf numFmtId="0" fontId="0" fillId="9" borderId="9" xfId="0" applyFill="1" applyBorder="1"/>
    <xf numFmtId="44" fontId="0" fillId="9" borderId="9" xfId="1" applyFont="1" applyFill="1" applyBorder="1"/>
    <xf numFmtId="165" fontId="0" fillId="9" borderId="9" xfId="0" applyNumberFormat="1" applyFill="1" applyBorder="1"/>
    <xf numFmtId="165" fontId="0" fillId="9" borderId="33" xfId="0" applyNumberFormat="1" applyFill="1" applyBorder="1"/>
    <xf numFmtId="0" fontId="0" fillId="9" borderId="23" xfId="0" applyFill="1" applyBorder="1"/>
    <xf numFmtId="44" fontId="0" fillId="9" borderId="1" xfId="1" applyFont="1" applyFill="1" applyBorder="1"/>
    <xf numFmtId="0" fontId="0" fillId="9" borderId="40" xfId="0" applyFill="1" applyBorder="1"/>
    <xf numFmtId="0" fontId="0" fillId="9" borderId="10" xfId="0" applyFill="1" applyBorder="1"/>
    <xf numFmtId="44" fontId="0" fillId="9" borderId="10" xfId="1" applyFont="1" applyFill="1" applyBorder="1"/>
    <xf numFmtId="0" fontId="0" fillId="8" borderId="23" xfId="0" applyFill="1" applyBorder="1"/>
    <xf numFmtId="44" fontId="0" fillId="8" borderId="1" xfId="1" applyFont="1" applyFill="1" applyBorder="1"/>
    <xf numFmtId="44" fontId="0" fillId="8" borderId="9" xfId="1" applyFont="1" applyFill="1" applyBorder="1"/>
    <xf numFmtId="165" fontId="0" fillId="8" borderId="9" xfId="0" applyNumberFormat="1" applyFill="1" applyBorder="1"/>
    <xf numFmtId="165" fontId="0" fillId="8" borderId="33" xfId="0" applyNumberFormat="1" applyFill="1" applyBorder="1"/>
    <xf numFmtId="0" fontId="0" fillId="8" borderId="32" xfId="0" applyFill="1" applyBorder="1"/>
    <xf numFmtId="44" fontId="0" fillId="8" borderId="32" xfId="1" applyFont="1" applyFill="1" applyBorder="1"/>
    <xf numFmtId="165" fontId="0" fillId="8" borderId="32" xfId="0" applyNumberFormat="1" applyFill="1" applyBorder="1"/>
    <xf numFmtId="10" fontId="0" fillId="9" borderId="16" xfId="2" applyNumberFormat="1" applyFont="1" applyFill="1" applyBorder="1"/>
    <xf numFmtId="165" fontId="0" fillId="9" borderId="19" xfId="1" applyNumberFormat="1" applyFont="1" applyFill="1" applyBorder="1"/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 wrapText="1"/>
    </xf>
    <xf numFmtId="0" fontId="7" fillId="10" borderId="12" xfId="0" applyFont="1" applyFill="1" applyBorder="1" applyAlignment="1">
      <alignment horizontal="center" wrapText="1"/>
    </xf>
    <xf numFmtId="0" fontId="7" fillId="10" borderId="13" xfId="0" applyFont="1" applyFill="1" applyBorder="1" applyAlignment="1">
      <alignment horizontal="center" wrapText="1"/>
    </xf>
    <xf numFmtId="0" fontId="1" fillId="10" borderId="27" xfId="0" applyFont="1" applyFill="1" applyBorder="1" applyAlignment="1">
      <alignment horizontal="left"/>
    </xf>
    <xf numFmtId="0" fontId="1" fillId="10" borderId="28" xfId="0" applyFont="1" applyFill="1" applyBorder="1" applyAlignment="1">
      <alignment horizontal="left"/>
    </xf>
    <xf numFmtId="0" fontId="1" fillId="10" borderId="29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1" fillId="10" borderId="27" xfId="0" applyFont="1" applyFill="1" applyBorder="1" applyAlignment="1">
      <alignment horizontal="center"/>
    </xf>
    <xf numFmtId="0" fontId="1" fillId="10" borderId="28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2" fillId="6" borderId="27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7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50"/>
        </patternFill>
      </fill>
    </dxf>
    <dxf>
      <fill>
        <patternFill>
          <bgColor rgb="FF75FFB3"/>
        </patternFill>
      </fill>
    </dxf>
    <dxf>
      <fill>
        <patternFill>
          <bgColor rgb="FFFF757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medium">
          <color indexed="64"/>
        </right>
        <top style="medium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6161"/>
        </patternFill>
      </fill>
    </dxf>
    <dxf>
      <numFmt numFmtId="4" formatCode="#,##0.00"/>
      <border diagonalUp="0" diagonalDown="0">
        <left style="thin">
          <color indexed="64"/>
        </left>
        <right/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7575"/>
      <color rgb="FF75FFB3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082081936121029E-2"/>
          <c:y val="0.13383853953715416"/>
          <c:w val="0.7123623924814243"/>
          <c:h val="0.61886860215707573"/>
        </c:manualLayout>
      </c:layout>
      <c:line3DChart>
        <c:grouping val="standard"/>
        <c:varyColors val="0"/>
        <c:ser>
          <c:idx val="0"/>
          <c:order val="0"/>
          <c:tx>
            <c:v>Custo (Reais)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Planilha9!$A$8:$A$18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 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Planilha9!$C$8:$C$18</c:f>
              <c:numCache>
                <c:formatCode>_("R$"* #,##0.00_);_("R$"* \(#,##0.00\);_("R$"* "-"??_);_(@_)</c:formatCode>
                <c:ptCount val="11"/>
                <c:pt idx="0">
                  <c:v>0.5</c:v>
                </c:pt>
                <c:pt idx="1">
                  <c:v>2.57</c:v>
                </c:pt>
                <c:pt idx="2">
                  <c:v>5</c:v>
                </c:pt>
                <c:pt idx="3">
                  <c:v>0.15</c:v>
                </c:pt>
                <c:pt idx="4">
                  <c:v>0.15</c:v>
                </c:pt>
                <c:pt idx="5">
                  <c:v>3</c:v>
                </c:pt>
                <c:pt idx="6">
                  <c:v>0.25</c:v>
                </c:pt>
                <c:pt idx="7">
                  <c:v>0.35</c:v>
                </c:pt>
                <c:pt idx="8">
                  <c:v>6</c:v>
                </c:pt>
                <c:pt idx="9">
                  <c:v>3.14</c:v>
                </c:pt>
                <c:pt idx="1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7-4224-90C7-2A7D9E67613B}"/>
            </c:ext>
          </c:extLst>
        </c:ser>
        <c:ser>
          <c:idx val="1"/>
          <c:order val="1"/>
          <c:tx>
            <c:v>Venda (Reais)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Planilha9!$A$8:$A$18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 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Planilha9!$D$8:$D$18</c:f>
              <c:numCache>
                <c:formatCode>_("R$"* #,##0.00_);_("R$"* \(#,##0.00\);_("R$"* "-"??_);_(@_)</c:formatCode>
                <c:ptCount val="11"/>
                <c:pt idx="0">
                  <c:v>0.55000000000000004</c:v>
                </c:pt>
                <c:pt idx="1">
                  <c:v>2.7</c:v>
                </c:pt>
                <c:pt idx="2">
                  <c:v>5.5</c:v>
                </c:pt>
                <c:pt idx="3">
                  <c:v>0.25</c:v>
                </c:pt>
                <c:pt idx="4">
                  <c:v>0.25</c:v>
                </c:pt>
                <c:pt idx="5">
                  <c:v>3.5</c:v>
                </c:pt>
                <c:pt idx="6">
                  <c:v>0.3</c:v>
                </c:pt>
                <c:pt idx="7">
                  <c:v>0.4</c:v>
                </c:pt>
                <c:pt idx="8">
                  <c:v>6.5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7-4224-90C7-2A7D9E67613B}"/>
            </c:ext>
          </c:extLst>
        </c:ser>
        <c:ser>
          <c:idx val="2"/>
          <c:order val="2"/>
          <c:tx>
            <c:v>Custo (Dólar)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Planilha9!$A$8:$A$18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 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Planilha9!$F$8:$F$18</c:f>
              <c:numCache>
                <c:formatCode>_-[$$-409]* #,##0.00_ ;_-[$$-409]* \-#,##0.00\ ;_-[$$-409]* "-"??_ ;_-@_ </c:formatCode>
                <c:ptCount val="11"/>
                <c:pt idx="0">
                  <c:v>0.14970059880239522</c:v>
                </c:pt>
                <c:pt idx="1">
                  <c:v>0.76946107784431139</c:v>
                </c:pt>
                <c:pt idx="2">
                  <c:v>1.4970059880239521</c:v>
                </c:pt>
                <c:pt idx="3">
                  <c:v>4.4910179640718563E-2</c:v>
                </c:pt>
                <c:pt idx="4">
                  <c:v>4.4910179640718563E-2</c:v>
                </c:pt>
                <c:pt idx="5">
                  <c:v>0.89820359281437134</c:v>
                </c:pt>
                <c:pt idx="6">
                  <c:v>7.4850299401197612E-2</c:v>
                </c:pt>
                <c:pt idx="7">
                  <c:v>0.10479041916167664</c:v>
                </c:pt>
                <c:pt idx="8">
                  <c:v>1.7964071856287427</c:v>
                </c:pt>
                <c:pt idx="9">
                  <c:v>0.940119760479042</c:v>
                </c:pt>
                <c:pt idx="10">
                  <c:v>1.7005988023952097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7-4224-90C7-2A7D9E67613B}"/>
            </c:ext>
          </c:extLst>
        </c:ser>
        <c:ser>
          <c:idx val="3"/>
          <c:order val="3"/>
          <c:tx>
            <c:v>Venda (Dólar)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Planilha9!$A$8:$A$18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 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Planilha9!$G$8:$G$18</c:f>
              <c:numCache>
                <c:formatCode>_-[$$-409]* #,##0.00_ ;_-[$$-409]* \-#,##0.00\ ;_-[$$-409]* "-"??_ ;_-@_ </c:formatCode>
                <c:ptCount val="11"/>
                <c:pt idx="0">
                  <c:v>0.16841317365269462</c:v>
                </c:pt>
                <c:pt idx="1">
                  <c:v>0.86564371257485029</c:v>
                </c:pt>
                <c:pt idx="2">
                  <c:v>1.6841317365269461</c:v>
                </c:pt>
                <c:pt idx="3">
                  <c:v>5.0523952095808386E-2</c:v>
                </c:pt>
                <c:pt idx="4">
                  <c:v>5.0523952095808386E-2</c:v>
                </c:pt>
                <c:pt idx="5">
                  <c:v>1.0104790419161678</c:v>
                </c:pt>
                <c:pt idx="6">
                  <c:v>8.420658682634731E-2</c:v>
                </c:pt>
                <c:pt idx="7">
                  <c:v>0.11788922155688622</c:v>
                </c:pt>
                <c:pt idx="8">
                  <c:v>2.0209580838323356</c:v>
                </c:pt>
                <c:pt idx="9">
                  <c:v>1.0576347305389222</c:v>
                </c:pt>
                <c:pt idx="10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A7-4224-90C7-2A7D9E676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325599"/>
        <c:axId val="1134328511"/>
        <c:axId val="1135458831"/>
      </c:line3DChart>
      <c:catAx>
        <c:axId val="1134325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4328511"/>
        <c:crosses val="autoZero"/>
        <c:auto val="1"/>
        <c:lblAlgn val="ctr"/>
        <c:lblOffset val="100"/>
        <c:noMultiLvlLbl val="0"/>
      </c:catAx>
      <c:valAx>
        <c:axId val="11343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4325599"/>
        <c:crosses val="autoZero"/>
        <c:crossBetween val="between"/>
      </c:valAx>
      <c:serAx>
        <c:axId val="1135458831"/>
        <c:scaling>
          <c:orientation val="minMax"/>
        </c:scaling>
        <c:delete val="1"/>
        <c:axPos val="b"/>
        <c:majorTickMark val="out"/>
        <c:minorTickMark val="none"/>
        <c:tickLblPos val="nextTo"/>
        <c:crossAx val="1134328511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596255672753623"/>
          <c:y val="0.32927327192855094"/>
          <c:w val="0.18177833453217637"/>
          <c:h val="0.291836281821754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190498</xdr:colOff>
      <xdr:row>0</xdr:row>
      <xdr:rowOff>190500</xdr:rowOff>
    </xdr:from>
    <xdr:to>
      <xdr:col>19</xdr:col>
      <xdr:colOff>342899</xdr:colOff>
      <xdr:row>19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9CC250-AB8D-4176-9FE3-7E1EEC1F6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92150-1FF8-4D79-983A-B84F9D375AAE}" name="Tabela1" displayName="Tabela1" ref="A3:I9" totalsRowShown="0" headerRowDxfId="75" headerRowBorderDxfId="74" tableBorderDxfId="73" totalsRowBorderDxfId="72">
  <autoFilter ref="A3:I9" xr:uid="{6B392150-1FF8-4D79-983A-B84F9D375AAE}"/>
  <tableColumns count="9">
    <tableColumn id="1" xr3:uid="{D29EFF5B-29A9-4C63-83AF-EB17834982D2}" name="Código" dataDxfId="71"/>
    <tableColumn id="2" xr3:uid="{F469E053-A437-4E4C-A9EC-E6BC934E0B63}" name="Produto" dataDxfId="70"/>
    <tableColumn id="3" xr3:uid="{5C2A85AB-18BC-406F-ABA6-081CB33FEE5E}" name="Jan" dataDxfId="69"/>
    <tableColumn id="4" xr3:uid="{0F18F478-0026-4D98-B51A-AF121EB7F6A8}" name="Fev" dataDxfId="68"/>
    <tableColumn id="5" xr3:uid="{BE1EC996-ADAF-4722-9401-0D27B12F5A32}" name="Mar" dataDxfId="67"/>
    <tableColumn id="6" xr3:uid="{35B62B4B-87E3-478E-AF99-7303C528371E}" name="Total 1º Trim" dataDxfId="66">
      <calculatedColumnFormula>SUM(Tabela1[[#This Row],[Jan]:[Mar]])</calculatedColumnFormula>
    </tableColumn>
    <tableColumn id="7" xr3:uid="{CDE59DB9-557B-4921-A63B-2D0613FB39D0}" name="Máximo" dataDxfId="65">
      <calculatedColumnFormula>MAX(Tabela1[[#This Row],[Jan]:[Mar]])</calculatedColumnFormula>
    </tableColumn>
    <tableColumn id="8" xr3:uid="{1C169EB5-B43C-4384-8642-9F90B96D6461}" name="Mínimo" dataDxfId="64">
      <calculatedColumnFormula>MIN(Tabela1[[#This Row],[Jan]:[Mar]])</calculatedColumnFormula>
    </tableColumn>
    <tableColumn id="9" xr3:uid="{C1E9C8ED-EB84-45E8-82C7-7385CB0FDE05}" name="Média" dataDxfId="63">
      <calculatedColumnFormula>AVERAGE(Tabela1[[#This Row],[Jan]:[Mar]])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D6985B-E363-4BA3-81BA-6362D9DA0C28}" name="Tabela3" displayName="Tabela3" ref="A13:I19" totalsRowShown="0" headerRowDxfId="62" dataDxfId="60" headerRowBorderDxfId="61" tableBorderDxfId="59" totalsRowBorderDxfId="58">
  <autoFilter ref="A13:I19" xr:uid="{65D6985B-E363-4BA3-81BA-6362D9DA0C28}"/>
  <tableColumns count="9">
    <tableColumn id="1" xr3:uid="{139A7BD5-D79D-45CA-9EB0-0C71E8E06540}" name="Código" dataDxfId="57"/>
    <tableColumn id="2" xr3:uid="{52730731-E815-44BF-96E9-806B62C1164E}" name="Produto" dataDxfId="56"/>
    <tableColumn id="3" xr3:uid="{165403EA-39C3-4395-B237-291980C56510}" name="Jan" dataDxfId="55"/>
    <tableColumn id="4" xr3:uid="{38283304-6538-4776-BFE1-A16F55D4468A}" name="Fev" dataDxfId="54"/>
    <tableColumn id="5" xr3:uid="{39FEB114-289A-4DCC-A313-8E2A12FB999E}" name="Mar" dataDxfId="53"/>
    <tableColumn id="6" xr3:uid="{D4023A96-4232-4EB3-895F-06E796047292}" name="Total 2º Trim" dataDxfId="52">
      <calculatedColumnFormula>SUM(C14:E14)</calculatedColumnFormula>
    </tableColumn>
    <tableColumn id="7" xr3:uid="{4010E390-22FF-4CDA-A55D-F99CD29039A8}" name="Máximo" dataDxfId="51">
      <calculatedColumnFormula>MAX(Tabela3[[#This Row],[Jan]:[Mar]])</calculatedColumnFormula>
    </tableColumn>
    <tableColumn id="8" xr3:uid="{A48D0E75-0D4A-4A36-A141-0F3B823A8E3F}" name="Mínimo" dataDxfId="50">
      <calculatedColumnFormula>MIN(Tabela3[[#This Row],[Jan]:[Mar]])</calculatedColumnFormula>
    </tableColumn>
    <tableColumn id="9" xr3:uid="{9C8DFACE-1CF3-443D-81C3-C0F9F8C26FD0}" name="Média" dataDxfId="49">
      <calculatedColumnFormula>AVERAGE(Tabela3[[#This Row],[Jan]:[Mar]])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5830C7-B0CF-47C6-962C-31908BFEED85}" name="Tabela5" displayName="Tabela5" ref="A3:H11" totalsRowShown="0" headerRowDxfId="47" headerRowBorderDxfId="46" tableBorderDxfId="45">
  <autoFilter ref="A3:H11" xr:uid="{EA5830C7-B0CF-47C6-962C-31908BFEED85}"/>
  <tableColumns count="8">
    <tableColumn id="1" xr3:uid="{1DDE7B1D-0012-4214-BDFD-7788726E2468}" name="Nº" dataDxfId="44"/>
    <tableColumn id="2" xr3:uid="{C8C72738-D865-4DAD-928D-602CEA8A2CA5}" name="NOME" dataDxfId="43"/>
    <tableColumn id="3" xr3:uid="{32B99505-0BE7-4599-91B3-0E3092EA7D8B}" name="Salário Bruto" dataDxfId="42"/>
    <tableColumn id="4" xr3:uid="{13871CEC-1FBA-4DAF-8273-2B9B0B749B1F}" name="INSS" dataDxfId="41"/>
    <tableColumn id="5" xr3:uid="{5ADED5DE-D7A2-452E-BE07-124A3867F392}" name="Gratificação" dataDxfId="40"/>
    <tableColumn id="6" xr3:uid="{07861B2E-2872-4DFC-A863-BE8501E09FEB}" name="INSS R$" dataDxfId="39" dataCellStyle="Moeda">
      <calculatedColumnFormula>PRODUCT(C4,D4)</calculatedColumnFormula>
    </tableColumn>
    <tableColumn id="7" xr3:uid="{342A8A2C-E339-4017-816F-E95F621404CA}" name="Gratificação R$" dataDxfId="38" dataCellStyle="Moeda">
      <calculatedColumnFormula>PRODUCT(Tabela5[[#This Row],[Salário Bruto]],Tabela5[[#This Row],[Gratificação]])</calculatedColumnFormula>
    </tableColumn>
    <tableColumn id="8" xr3:uid="{10C05A7A-8DA4-4444-87C6-3AD12C5251E8}" name="Salário Líquido" dataDxfId="37">
      <calculatedColumnFormula>SUM(Tabela5[[#This Row],[Salário Bruto]],Tabela5[[#This Row],[Gratificação R$]]) - Tabela5[[#This Row],[INSS R$]]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C13B4-B424-4591-8B0A-AD98EFFE1B0B}" name="Tabela2" displayName="Tabela2" ref="A4:E11" totalsRowShown="0" headerRowDxfId="36" headerRowBorderDxfId="35" tableBorderDxfId="34" totalsRowBorderDxfId="33">
  <autoFilter ref="A4:E11" xr:uid="{35AC13B4-B424-4591-8B0A-AD98EFFE1B0B}"/>
  <tableColumns count="5">
    <tableColumn id="1" xr3:uid="{D07FEB2E-D9E0-49EA-AB4D-70DF4DF757A1}" name="Produtos" dataDxfId="32"/>
    <tableColumn id="2" xr3:uid="{FA74BF4C-FACC-4794-9CE4-11E2A270CA0B}" name="Qtde" dataDxfId="31"/>
    <tableColumn id="3" xr3:uid="{0AE4EB61-55A6-4806-A201-F8C35257DF9C}" name="Preço Unit." dataDxfId="30" dataCellStyle="Moeda"/>
    <tableColumn id="4" xr3:uid="{D6E637A1-C04A-4E40-9DDE-6324E98DA193}" name="Total R$" dataDxfId="29" dataCellStyle="Moeda">
      <calculatedColumnFormula>PRODUCT(B5,C5)</calculatedColumnFormula>
    </tableColumn>
    <tableColumn id="5" xr3:uid="{3C8D8695-B28D-4FFE-94D3-E1E39B50DB3B}" name="Total US$" dataDxfId="28">
      <calculatedColumnFormula>D5/$B$1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E0DE8-AB38-4EEA-AA9C-F9C89D95BFF9}" name="Tabela4" displayName="Tabela4" ref="A1:D9" totalsRowShown="0" headerRowDxfId="27" headerRowBorderDxfId="26" tableBorderDxfId="25" totalsRowBorderDxfId="24">
  <autoFilter ref="A1:D9" xr:uid="{5CBE0DE8-AB38-4EEA-AA9C-F9C89D95BFF9}"/>
  <tableColumns count="4">
    <tableColumn id="1" xr3:uid="{142E438E-1994-46E3-9206-760B5B6556AF}" name="Nome" dataDxfId="23"/>
    <tableColumn id="2" xr3:uid="{080C0BC2-E6F5-4534-8FE3-19852269A2A4}" name="Salário" dataDxfId="22" dataCellStyle="Moeda"/>
    <tableColumn id="3" xr3:uid="{FBBA877D-9794-42ED-B22D-40EAFC37065D}" name="Aumento" dataDxfId="21" dataCellStyle="Moeda">
      <calculatedColumnFormula>IF(B2 &lt;= 1000,PRODUCT(B2,$G$3),PRODUCT(B2,$G$4))</calculatedColumnFormula>
    </tableColumn>
    <tableColumn id="4" xr3:uid="{946C44DF-93FB-426F-A0D5-D613DAA6EC0D}" name="Novo Salário" dataDxfId="20" dataCellStyle="Moeda">
      <calculatedColumnFormula>SUM(B2,C2)</calculatedColumnFormula>
    </tableColumn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830CF6-4900-4B0E-8E58-C8743CCA9DF4}" name="Tabela7" displayName="Tabela7" ref="A2:D8" totalsRowShown="0" headerRowDxfId="16" headerRowBorderDxfId="15" tableBorderDxfId="14" totalsRowBorderDxfId="13">
  <autoFilter ref="A2:D8" xr:uid="{C7830CF6-4900-4B0E-8E58-C8743CCA9DF4}"/>
  <tableColumns count="4">
    <tableColumn id="1" xr3:uid="{AC3BA85A-17CF-4AB7-9B65-B56CEEBA7B3C}" name="Produto" dataDxfId="12"/>
    <tableColumn id="2" xr3:uid="{B22E2B03-E385-40E2-83A0-0938D189417A}" name="Jan" dataDxfId="11"/>
    <tableColumn id="3" xr3:uid="{8385151B-3568-49A7-AC7D-0ED7BD2415E1}" name="Fev" dataDxfId="10"/>
    <tableColumn id="4" xr3:uid="{C8094DF8-831B-4604-9D97-38FB0201021B}" name="Resultado" dataDxfId="9">
      <calculatedColumnFormula>IF(Tabela7[[#This Row],[Jan]] = Tabela7[[#This Row],[Fev]], "Igual", IF(Tabela7[[#This Row],[Jan]] &gt; Tabela7[[#This Row],[Fev]], "Maior","Menor"))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55F026-3B53-4E40-A4D3-125E21F1EEB6}" name="Tabela6" displayName="Tabela6" ref="A1:E16" totalsRowShown="0" headerRowDxfId="8" headerRowBorderDxfId="7" tableBorderDxfId="6" totalsRowBorderDxfId="5">
  <autoFilter ref="A1:E16" xr:uid="{B955F026-3B53-4E40-A4D3-125E21F1EEB6}"/>
  <tableColumns count="5">
    <tableColumn id="1" xr3:uid="{50CED350-8B18-4F92-8F12-DD00C4F06B4D}" name="Nome" dataDxfId="4"/>
    <tableColumn id="2" xr3:uid="{C77D7F43-04F0-4EE0-B65C-3BD08D726C4E}" name="Endereço" dataDxfId="3"/>
    <tableColumn id="3" xr3:uid="{81E9553C-1B24-4E02-867E-7E8121AA80F9}" name="Bairro" dataDxfId="2"/>
    <tableColumn id="4" xr3:uid="{EC02B45A-0358-4E4D-A66B-C756D277D41E}" name="Cidade" dataDxfId="1"/>
    <tableColumn id="5" xr3:uid="{065962C4-B3D4-4474-A008-3E9DCACE22F8}" name="Estado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1E6-CB51-4CAB-8988-348DBAD653A1}">
  <dimension ref="A1:I23"/>
  <sheetViews>
    <sheetView workbookViewId="0">
      <selection activeCell="F24" sqref="F24"/>
    </sheetView>
  </sheetViews>
  <sheetFormatPr defaultRowHeight="15" x14ac:dyDescent="0.25"/>
  <cols>
    <col min="1" max="1" width="11.7109375" customWidth="1"/>
    <col min="2" max="2" width="10.28515625" customWidth="1"/>
    <col min="3" max="3" width="12" customWidth="1"/>
    <col min="4" max="4" width="11.85546875" customWidth="1"/>
    <col min="5" max="5" width="11.28515625" customWidth="1"/>
    <col min="6" max="6" width="14.42578125" customWidth="1"/>
    <col min="7" max="7" width="12.28515625" customWidth="1"/>
    <col min="8" max="8" width="11.85546875" customWidth="1"/>
    <col min="9" max="9" width="11.28515625" customWidth="1"/>
  </cols>
  <sheetData>
    <row r="1" spans="1:9" ht="18.75" x14ac:dyDescent="0.3">
      <c r="A1" s="149" t="s">
        <v>0</v>
      </c>
      <c r="B1" s="150"/>
      <c r="C1" s="150"/>
      <c r="D1" s="150"/>
      <c r="E1" s="150"/>
      <c r="F1" s="150"/>
      <c r="G1" s="150"/>
      <c r="H1" s="150"/>
      <c r="I1" s="151"/>
    </row>
    <row r="3" spans="1:9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x14ac:dyDescent="0.25">
      <c r="A4" s="4">
        <v>1</v>
      </c>
      <c r="B4" s="2" t="s">
        <v>10</v>
      </c>
      <c r="C4" s="3">
        <v>4500</v>
      </c>
      <c r="D4" s="3">
        <v>5040</v>
      </c>
      <c r="E4" s="3">
        <v>5696</v>
      </c>
      <c r="F4" s="3">
        <f>SUM(Tabela1[[#This Row],[Jan]:[Mar]])</f>
        <v>15236</v>
      </c>
      <c r="G4" s="3">
        <f>MAX(Tabela1[[#This Row],[Jan]:[Mar]])</f>
        <v>5696</v>
      </c>
      <c r="H4" s="3">
        <f>MIN(Tabela1[[#This Row],[Jan]:[Mar]])</f>
        <v>4500</v>
      </c>
      <c r="I4" s="17">
        <f>AVERAGE(Tabela1[[#This Row],[Jan]:[Mar]])</f>
        <v>5078.666666666667</v>
      </c>
    </row>
    <row r="5" spans="1:9" x14ac:dyDescent="0.25">
      <c r="A5" s="4">
        <v>2</v>
      </c>
      <c r="B5" s="2" t="s">
        <v>11</v>
      </c>
      <c r="C5" s="3">
        <v>6250</v>
      </c>
      <c r="D5" s="3">
        <v>7000</v>
      </c>
      <c r="E5" s="3">
        <v>7910</v>
      </c>
      <c r="F5" s="3">
        <f>SUM(Tabela1[[#This Row],[Jan]:[Mar]])</f>
        <v>21160</v>
      </c>
      <c r="G5" s="3">
        <f>MAX(Tabela1[[#This Row],[Jan]:[Mar]])</f>
        <v>7910</v>
      </c>
      <c r="H5" s="3">
        <f>MIN(Tabela1[[#This Row],[Jan]:[Mar]])</f>
        <v>6250</v>
      </c>
      <c r="I5" s="17">
        <f>AVERAGE(Tabela1[[#This Row],[Jan]:[Mar]])</f>
        <v>7053.333333333333</v>
      </c>
    </row>
    <row r="6" spans="1:9" x14ac:dyDescent="0.25">
      <c r="A6" s="4">
        <v>3</v>
      </c>
      <c r="B6" s="2" t="s">
        <v>12</v>
      </c>
      <c r="C6" s="3">
        <v>3300</v>
      </c>
      <c r="D6" s="3">
        <v>3696</v>
      </c>
      <c r="E6" s="3">
        <v>4176</v>
      </c>
      <c r="F6" s="3">
        <f>SUM(Tabela1[[#This Row],[Jan]:[Mar]])</f>
        <v>11172</v>
      </c>
      <c r="G6" s="3">
        <f>MAX(Tabela1[[#This Row],[Jan]:[Mar]])</f>
        <v>4176</v>
      </c>
      <c r="H6" s="3">
        <f>MIN(Tabela1[[#This Row],[Jan]:[Mar]])</f>
        <v>3300</v>
      </c>
      <c r="I6" s="17">
        <f>AVERAGE(Tabela1[[#This Row],[Jan]:[Mar]])</f>
        <v>3724</v>
      </c>
    </row>
    <row r="7" spans="1:9" x14ac:dyDescent="0.25">
      <c r="A7" s="4">
        <v>4</v>
      </c>
      <c r="B7" s="2" t="s">
        <v>13</v>
      </c>
      <c r="C7" s="3">
        <v>8000</v>
      </c>
      <c r="D7" s="3">
        <v>8690</v>
      </c>
      <c r="E7" s="3">
        <v>10125</v>
      </c>
      <c r="F7" s="3">
        <f>SUM(Tabela1[[#This Row],[Jan]:[Mar]])</f>
        <v>26815</v>
      </c>
      <c r="G7" s="3">
        <f>MAX(Tabela1[[#This Row],[Jan]:[Mar]])</f>
        <v>10125</v>
      </c>
      <c r="H7" s="3">
        <f>MIN(Tabela1[[#This Row],[Jan]:[Mar]])</f>
        <v>8000</v>
      </c>
      <c r="I7" s="17">
        <f>AVERAGE(Tabela1[[#This Row],[Jan]:[Mar]])</f>
        <v>8938.3333333333339</v>
      </c>
    </row>
    <row r="8" spans="1:9" x14ac:dyDescent="0.25">
      <c r="A8" s="4">
        <v>5</v>
      </c>
      <c r="B8" s="2" t="s">
        <v>14</v>
      </c>
      <c r="C8" s="3">
        <v>4557</v>
      </c>
      <c r="D8" s="3">
        <v>5104</v>
      </c>
      <c r="E8" s="3">
        <v>5676</v>
      </c>
      <c r="F8" s="3">
        <f>SUM(Tabela1[[#This Row],[Jan]:[Mar]])</f>
        <v>15337</v>
      </c>
      <c r="G8" s="3">
        <f>MAX(Tabela1[[#This Row],[Jan]:[Mar]])</f>
        <v>5676</v>
      </c>
      <c r="H8" s="3">
        <f>MIN(Tabela1[[#This Row],[Jan]:[Mar]])</f>
        <v>4557</v>
      </c>
      <c r="I8" s="17">
        <f>AVERAGE(Tabela1[[#This Row],[Jan]:[Mar]])</f>
        <v>5112.333333333333</v>
      </c>
    </row>
    <row r="9" spans="1:9" x14ac:dyDescent="0.25">
      <c r="A9" s="5">
        <v>6</v>
      </c>
      <c r="B9" s="6" t="s">
        <v>15</v>
      </c>
      <c r="C9" s="7">
        <v>3260</v>
      </c>
      <c r="D9" s="7">
        <v>3640</v>
      </c>
      <c r="E9" s="7">
        <v>4113</v>
      </c>
      <c r="F9" s="7">
        <f>SUM(Tabela1[[#This Row],[Jan]:[Mar]])</f>
        <v>11013</v>
      </c>
      <c r="G9" s="7">
        <f>MAX(Tabela1[[#This Row],[Jan]:[Mar]])</f>
        <v>4113</v>
      </c>
      <c r="H9" s="7">
        <f>MIN(Tabela1[[#This Row],[Jan]:[Mar]])</f>
        <v>3260</v>
      </c>
      <c r="I9" s="8">
        <f>AVERAGE(Tabela1[[#This Row],[Jan]:[Mar]])</f>
        <v>3671</v>
      </c>
    </row>
    <row r="10" spans="1:9" ht="15.75" thickBot="1" x14ac:dyDescent="0.3"/>
    <row r="11" spans="1:9" ht="15.75" thickBot="1" x14ac:dyDescent="0.3">
      <c r="A11" s="152" t="s">
        <v>16</v>
      </c>
      <c r="B11" s="153"/>
      <c r="C11" s="31">
        <f>SUM(Tabela1[Jan])</f>
        <v>29867</v>
      </c>
      <c r="D11" s="31">
        <f>SUM(Tabela1[Fev])</f>
        <v>33170</v>
      </c>
      <c r="E11" s="32">
        <f>SUM(Tabela1[Mar])</f>
        <v>37696</v>
      </c>
      <c r="F11" s="29"/>
      <c r="G11" s="29"/>
      <c r="H11" s="29"/>
      <c r="I11" s="29"/>
    </row>
    <row r="12" spans="1:9" x14ac:dyDescent="0.25">
      <c r="C12" s="16"/>
    </row>
    <row r="13" spans="1:9" x14ac:dyDescent="0.25">
      <c r="A13" s="22" t="s">
        <v>1</v>
      </c>
      <c r="B13" s="23" t="s">
        <v>2</v>
      </c>
      <c r="C13" s="23" t="s">
        <v>3</v>
      </c>
      <c r="D13" s="23" t="s">
        <v>4</v>
      </c>
      <c r="E13" s="23" t="s">
        <v>5</v>
      </c>
      <c r="F13" s="23" t="s">
        <v>17</v>
      </c>
      <c r="G13" s="23" t="s">
        <v>7</v>
      </c>
      <c r="H13" s="23" t="s">
        <v>8</v>
      </c>
      <c r="I13" s="24" t="s">
        <v>9</v>
      </c>
    </row>
    <row r="14" spans="1:9" x14ac:dyDescent="0.25">
      <c r="A14" s="18">
        <v>1</v>
      </c>
      <c r="B14" s="12" t="s">
        <v>10</v>
      </c>
      <c r="C14" s="13">
        <v>6265</v>
      </c>
      <c r="D14" s="13">
        <v>6954</v>
      </c>
      <c r="E14" s="13">
        <v>7858</v>
      </c>
      <c r="F14" s="13">
        <f t="shared" ref="F14:F19" si="0">SUM(C14:E14)</f>
        <v>21077</v>
      </c>
      <c r="G14" s="13">
        <f>MAX(Tabela3[[#This Row],[Jan]:[Mar]])</f>
        <v>7858</v>
      </c>
      <c r="H14" s="13">
        <f>MIN(Tabela3[[#This Row],[Jan]:[Mar]])</f>
        <v>6265</v>
      </c>
      <c r="I14" s="20">
        <f>AVERAGE(Tabela3[[#This Row],[Jan]:[Mar]])</f>
        <v>7025.666666666667</v>
      </c>
    </row>
    <row r="15" spans="1:9" x14ac:dyDescent="0.25">
      <c r="A15" s="19">
        <v>2</v>
      </c>
      <c r="B15" s="14" t="s">
        <v>11</v>
      </c>
      <c r="C15" s="15">
        <v>8701</v>
      </c>
      <c r="D15" s="15">
        <v>9658</v>
      </c>
      <c r="E15" s="15">
        <v>10197</v>
      </c>
      <c r="F15" s="15">
        <f t="shared" si="0"/>
        <v>28556</v>
      </c>
      <c r="G15" s="15">
        <f>MAX(Tabela3[[#This Row],[Jan]:[Mar]])</f>
        <v>10197</v>
      </c>
      <c r="H15" s="15">
        <f>MIN(Tabela3[[#This Row],[Jan]:[Mar]])</f>
        <v>8701</v>
      </c>
      <c r="I15" s="21">
        <f>AVERAGE(Tabela3[[#This Row],[Jan]:[Mar]])</f>
        <v>9518.6666666666661</v>
      </c>
    </row>
    <row r="16" spans="1:9" x14ac:dyDescent="0.25">
      <c r="A16" s="18">
        <v>3</v>
      </c>
      <c r="B16" s="12" t="s">
        <v>12</v>
      </c>
      <c r="C16" s="13">
        <v>4569</v>
      </c>
      <c r="D16" s="13">
        <v>5099</v>
      </c>
      <c r="E16" s="13">
        <v>5769</v>
      </c>
      <c r="F16" s="13">
        <f t="shared" si="0"/>
        <v>15437</v>
      </c>
      <c r="G16" s="13">
        <f>MAX(Tabela3[[#This Row],[Jan]:[Mar]])</f>
        <v>5769</v>
      </c>
      <c r="H16" s="13">
        <f>MIN(Tabela3[[#This Row],[Jan]:[Mar]])</f>
        <v>4569</v>
      </c>
      <c r="I16" s="20">
        <f>AVERAGE(Tabela3[[#This Row],[Jan]:[Mar]])</f>
        <v>5145.666666666667</v>
      </c>
    </row>
    <row r="17" spans="1:9" x14ac:dyDescent="0.25">
      <c r="A17" s="19">
        <v>4</v>
      </c>
      <c r="B17" s="14" t="s">
        <v>13</v>
      </c>
      <c r="C17" s="15">
        <v>12341</v>
      </c>
      <c r="D17" s="15">
        <v>12365</v>
      </c>
      <c r="E17" s="15">
        <v>13969</v>
      </c>
      <c r="F17" s="15">
        <f t="shared" si="0"/>
        <v>38675</v>
      </c>
      <c r="G17" s="15">
        <f>MAX(Tabela3[[#This Row],[Jan]:[Mar]])</f>
        <v>13969</v>
      </c>
      <c r="H17" s="15">
        <f>MIN(Tabela3[[#This Row],[Jan]:[Mar]])</f>
        <v>12341</v>
      </c>
      <c r="I17" s="21">
        <f>AVERAGE(Tabela3[[#This Row],[Jan]:[Mar]])</f>
        <v>12891.666666666666</v>
      </c>
    </row>
    <row r="18" spans="1:9" x14ac:dyDescent="0.25">
      <c r="A18" s="18">
        <v>5</v>
      </c>
      <c r="B18" s="12" t="s">
        <v>14</v>
      </c>
      <c r="C18" s="13">
        <v>6344</v>
      </c>
      <c r="D18" s="13">
        <v>7042</v>
      </c>
      <c r="E18" s="13">
        <v>7957</v>
      </c>
      <c r="F18" s="13">
        <f t="shared" si="0"/>
        <v>21343</v>
      </c>
      <c r="G18" s="13">
        <f>MAX(Tabela3[[#This Row],[Jan]:[Mar]])</f>
        <v>7957</v>
      </c>
      <c r="H18" s="13">
        <f>MIN(Tabela3[[#This Row],[Jan]:[Mar]])</f>
        <v>6344</v>
      </c>
      <c r="I18" s="20">
        <f>AVERAGE(Tabela3[[#This Row],[Jan]:[Mar]])</f>
        <v>7114.333333333333</v>
      </c>
    </row>
    <row r="19" spans="1:9" x14ac:dyDescent="0.25">
      <c r="A19" s="25">
        <v>6</v>
      </c>
      <c r="B19" s="26" t="s">
        <v>15</v>
      </c>
      <c r="C19" s="27">
        <v>4525</v>
      </c>
      <c r="D19" s="27">
        <v>5022</v>
      </c>
      <c r="E19" s="27">
        <v>5671</v>
      </c>
      <c r="F19" s="27">
        <f t="shared" si="0"/>
        <v>15218</v>
      </c>
      <c r="G19" s="27">
        <f>MAX(Tabela3[[#This Row],[Jan]:[Mar]])</f>
        <v>5671</v>
      </c>
      <c r="H19" s="27">
        <f>MIN(Tabela3[[#This Row],[Jan]:[Mar]])</f>
        <v>4525</v>
      </c>
      <c r="I19" s="28">
        <f>AVERAGE(Tabela3[[#This Row],[Jan]:[Mar]])</f>
        <v>5072.666666666667</v>
      </c>
    </row>
    <row r="20" spans="1:9" ht="15.75" thickBot="1" x14ac:dyDescent="0.3"/>
    <row r="21" spans="1:9" ht="15.75" thickBot="1" x14ac:dyDescent="0.3">
      <c r="A21" s="152" t="s">
        <v>16</v>
      </c>
      <c r="B21" s="153"/>
      <c r="C21" s="31">
        <f>SUM(Tabela3[Jan])</f>
        <v>42745</v>
      </c>
      <c r="D21" s="31">
        <f>SUM(Tabela3[Fev])</f>
        <v>46140</v>
      </c>
      <c r="E21" s="32">
        <f>SUM(E14:E19)</f>
        <v>51421</v>
      </c>
      <c r="F21" s="29"/>
      <c r="G21" s="29"/>
      <c r="H21" s="29"/>
      <c r="I21" s="29"/>
    </row>
    <row r="22" spans="1:9" ht="15.75" thickBot="1" x14ac:dyDescent="0.3">
      <c r="G22" s="1"/>
    </row>
    <row r="23" spans="1:9" ht="30" customHeight="1" thickBot="1" x14ac:dyDescent="0.3">
      <c r="A23" s="33" t="s">
        <v>18</v>
      </c>
      <c r="B23" s="34">
        <f>SUM(C11:E11,C21:E21)</f>
        <v>241039</v>
      </c>
      <c r="C23" s="30"/>
      <c r="D23" s="30"/>
      <c r="E23" s="30"/>
      <c r="F23" s="30"/>
      <c r="G23" s="30"/>
      <c r="H23" s="30"/>
      <c r="I23" s="30"/>
    </row>
  </sheetData>
  <mergeCells count="3">
    <mergeCell ref="A1:I1"/>
    <mergeCell ref="A11:B11"/>
    <mergeCell ref="A21:B2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D688-1B1C-439F-93CC-27603BB4EF79}">
  <dimension ref="A1:H18"/>
  <sheetViews>
    <sheetView workbookViewId="0">
      <selection activeCell="B5" sqref="B5"/>
    </sheetView>
  </sheetViews>
  <sheetFormatPr defaultRowHeight="15" x14ac:dyDescent="0.25"/>
  <cols>
    <col min="1" max="1" width="17.28515625" bestFit="1" customWidth="1"/>
    <col min="2" max="2" width="12.42578125" customWidth="1"/>
    <col min="3" max="3" width="13.140625" customWidth="1"/>
    <col min="4" max="4" width="11.42578125" customWidth="1"/>
    <col min="5" max="5" width="12.85546875" customWidth="1"/>
    <col min="6" max="6" width="13.140625" customWidth="1"/>
    <col min="7" max="7" width="10.5703125" bestFit="1" customWidth="1"/>
  </cols>
  <sheetData>
    <row r="1" spans="1:8" ht="15.75" thickBot="1" x14ac:dyDescent="0.3">
      <c r="A1" s="154" t="s">
        <v>19</v>
      </c>
      <c r="B1" s="155"/>
      <c r="C1" s="155"/>
      <c r="D1" s="155"/>
      <c r="E1" s="155"/>
      <c r="F1" s="155"/>
      <c r="G1" s="156"/>
    </row>
    <row r="2" spans="1:8" ht="15.75" thickBot="1" x14ac:dyDescent="0.3"/>
    <row r="3" spans="1:8" x14ac:dyDescent="0.25">
      <c r="A3" s="42"/>
      <c r="B3" s="54" t="s">
        <v>21</v>
      </c>
      <c r="C3" s="54" t="s">
        <v>22</v>
      </c>
      <c r="D3" s="54" t="s">
        <v>23</v>
      </c>
      <c r="E3" s="54" t="s">
        <v>24</v>
      </c>
      <c r="F3" s="54" t="s">
        <v>25</v>
      </c>
      <c r="G3" s="55" t="s">
        <v>26</v>
      </c>
    </row>
    <row r="4" spans="1:8" ht="15.75" thickBot="1" x14ac:dyDescent="0.3">
      <c r="A4" s="99" t="s">
        <v>20</v>
      </c>
      <c r="B4" s="45">
        <v>500</v>
      </c>
      <c r="C4" s="45">
        <v>750</v>
      </c>
      <c r="D4" s="45">
        <v>800</v>
      </c>
      <c r="E4" s="45">
        <v>700</v>
      </c>
      <c r="F4" s="45">
        <v>654</v>
      </c>
      <c r="G4" s="46">
        <v>700</v>
      </c>
      <c r="H4" s="35"/>
    </row>
    <row r="5" spans="1:8" ht="15.75" thickBot="1" x14ac:dyDescent="0.3">
      <c r="A5" s="36"/>
      <c r="B5" s="35"/>
      <c r="C5" s="35"/>
      <c r="D5" s="35"/>
      <c r="E5" s="35"/>
      <c r="F5" s="35"/>
      <c r="G5" s="37"/>
      <c r="H5" s="35"/>
    </row>
    <row r="6" spans="1:8" x14ac:dyDescent="0.25">
      <c r="A6" s="53" t="s">
        <v>27</v>
      </c>
      <c r="B6" s="43"/>
      <c r="C6" s="43"/>
      <c r="D6" s="43"/>
      <c r="E6" s="43"/>
      <c r="F6" s="43"/>
      <c r="G6" s="44"/>
      <c r="H6" s="35"/>
    </row>
    <row r="7" spans="1:8" x14ac:dyDescent="0.25">
      <c r="A7" s="97" t="s">
        <v>28</v>
      </c>
      <c r="B7" s="47">
        <v>10</v>
      </c>
      <c r="C7" s="47">
        <v>15</v>
      </c>
      <c r="D7" s="47">
        <v>15</v>
      </c>
      <c r="E7" s="47">
        <v>12</v>
      </c>
      <c r="F7" s="47">
        <v>12</v>
      </c>
      <c r="G7" s="48">
        <v>11</v>
      </c>
      <c r="H7" s="35"/>
    </row>
    <row r="8" spans="1:8" x14ac:dyDescent="0.25">
      <c r="A8" s="97" t="s">
        <v>29</v>
      </c>
      <c r="B8" s="49">
        <v>50</v>
      </c>
      <c r="C8" s="49">
        <v>60</v>
      </c>
      <c r="D8" s="49">
        <v>54</v>
      </c>
      <c r="E8" s="49">
        <v>55</v>
      </c>
      <c r="F8" s="49">
        <v>54</v>
      </c>
      <c r="G8" s="50">
        <v>56</v>
      </c>
      <c r="H8" s="35"/>
    </row>
    <row r="9" spans="1:8" x14ac:dyDescent="0.25">
      <c r="A9" s="97" t="s">
        <v>30</v>
      </c>
      <c r="B9" s="47">
        <v>300</v>
      </c>
      <c r="C9" s="47">
        <v>250</v>
      </c>
      <c r="D9" s="47">
        <v>300</v>
      </c>
      <c r="E9" s="47">
        <v>300</v>
      </c>
      <c r="F9" s="47">
        <v>200</v>
      </c>
      <c r="G9" s="48">
        <v>200</v>
      </c>
      <c r="H9" s="35"/>
    </row>
    <row r="10" spans="1:8" x14ac:dyDescent="0.25">
      <c r="A10" s="97" t="s">
        <v>31</v>
      </c>
      <c r="B10" s="49">
        <v>40</v>
      </c>
      <c r="C10" s="49">
        <v>40</v>
      </c>
      <c r="D10" s="49">
        <v>40</v>
      </c>
      <c r="E10" s="49">
        <v>40</v>
      </c>
      <c r="F10" s="49">
        <v>40</v>
      </c>
      <c r="G10" s="50">
        <v>40</v>
      </c>
      <c r="H10" s="35"/>
    </row>
    <row r="11" spans="1:8" x14ac:dyDescent="0.25">
      <c r="A11" s="97" t="s">
        <v>32</v>
      </c>
      <c r="B11" s="47">
        <v>10</v>
      </c>
      <c r="C11" s="47">
        <v>15</v>
      </c>
      <c r="D11" s="47">
        <v>15</v>
      </c>
      <c r="E11" s="47">
        <v>15</v>
      </c>
      <c r="F11" s="47">
        <v>20</v>
      </c>
      <c r="G11" s="48">
        <v>31</v>
      </c>
      <c r="H11" s="35"/>
    </row>
    <row r="12" spans="1:8" x14ac:dyDescent="0.25">
      <c r="A12" s="97" t="s">
        <v>33</v>
      </c>
      <c r="B12" s="49">
        <v>120</v>
      </c>
      <c r="C12" s="49">
        <v>150</v>
      </c>
      <c r="D12" s="49">
        <v>150</v>
      </c>
      <c r="E12" s="49">
        <v>200</v>
      </c>
      <c r="F12" s="49">
        <v>150</v>
      </c>
      <c r="G12" s="50">
        <v>190</v>
      </c>
      <c r="H12" s="35"/>
    </row>
    <row r="13" spans="1:8" x14ac:dyDescent="0.25">
      <c r="A13" s="97" t="s">
        <v>34</v>
      </c>
      <c r="B13" s="47">
        <v>50</v>
      </c>
      <c r="C13" s="47">
        <v>60</v>
      </c>
      <c r="D13" s="47">
        <v>60</v>
      </c>
      <c r="E13" s="47">
        <v>70</v>
      </c>
      <c r="F13" s="47">
        <v>65</v>
      </c>
      <c r="G13" s="48">
        <v>85</v>
      </c>
      <c r="H13" s="35"/>
    </row>
    <row r="14" spans="1:8" ht="15.75" thickBot="1" x14ac:dyDescent="0.3">
      <c r="A14" s="98" t="s">
        <v>35</v>
      </c>
      <c r="B14" s="51">
        <v>145</v>
      </c>
      <c r="C14" s="51">
        <v>145</v>
      </c>
      <c r="D14" s="51">
        <v>145</v>
      </c>
      <c r="E14" s="51">
        <v>145</v>
      </c>
      <c r="F14" s="51">
        <v>100</v>
      </c>
      <c r="G14" s="52">
        <v>145</v>
      </c>
      <c r="H14" s="35"/>
    </row>
    <row r="15" spans="1:8" ht="15.75" thickBot="1" x14ac:dyDescent="0.3"/>
    <row r="16" spans="1:8" ht="15.75" thickBot="1" x14ac:dyDescent="0.3">
      <c r="A16" s="56" t="s">
        <v>36</v>
      </c>
      <c r="B16" s="57">
        <f>SUM(B7:B14)</f>
        <v>725</v>
      </c>
      <c r="C16" s="57">
        <f>SUM(C7:C14)</f>
        <v>735</v>
      </c>
      <c r="D16" s="57">
        <f t="shared" ref="D16:G16" si="0">SUM(D7:D14)</f>
        <v>779</v>
      </c>
      <c r="E16" s="57">
        <f t="shared" si="0"/>
        <v>837</v>
      </c>
      <c r="F16" s="57">
        <f t="shared" si="0"/>
        <v>641</v>
      </c>
      <c r="G16" s="57">
        <f t="shared" si="0"/>
        <v>758</v>
      </c>
    </row>
    <row r="17" spans="1:7" ht="15.75" thickBot="1" x14ac:dyDescent="0.3"/>
    <row r="18" spans="1:7" ht="15.75" thickBot="1" x14ac:dyDescent="0.3">
      <c r="A18" s="56" t="s">
        <v>37</v>
      </c>
      <c r="B18" s="57">
        <f>B4-B16</f>
        <v>-225</v>
      </c>
      <c r="C18" s="57">
        <f t="shared" ref="C18:G18" si="1">C4-C16</f>
        <v>15</v>
      </c>
      <c r="D18" s="57">
        <f t="shared" si="1"/>
        <v>21</v>
      </c>
      <c r="E18" s="57">
        <f t="shared" si="1"/>
        <v>-137</v>
      </c>
      <c r="F18" s="57">
        <f t="shared" si="1"/>
        <v>13</v>
      </c>
      <c r="G18" s="57">
        <f t="shared" si="1"/>
        <v>-58</v>
      </c>
    </row>
  </sheetData>
  <mergeCells count="1">
    <mergeCell ref="A1:G1"/>
  </mergeCells>
  <phoneticPr fontId="4" type="noConversion"/>
  <conditionalFormatting sqref="B18:G18">
    <cfRule type="cellIs" dxfId="48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0370-4A5C-43BB-9191-7D6B8EEF47ED}">
  <dimension ref="A1:J11"/>
  <sheetViews>
    <sheetView workbookViewId="0">
      <selection activeCell="I15" sqref="I15"/>
    </sheetView>
  </sheetViews>
  <sheetFormatPr defaultRowHeight="15" x14ac:dyDescent="0.25"/>
  <cols>
    <col min="1" max="1" width="5.5703125" customWidth="1"/>
    <col min="2" max="2" width="9.85546875" bestFit="1" customWidth="1"/>
    <col min="3" max="3" width="14.42578125" customWidth="1"/>
    <col min="5" max="5" width="13.7109375" customWidth="1"/>
    <col min="6" max="6" width="9.7109375" customWidth="1"/>
    <col min="7" max="7" width="16.28515625" customWidth="1"/>
    <col min="8" max="8" width="16.140625" customWidth="1"/>
    <col min="10" max="10" width="10.5703125" bestFit="1" customWidth="1"/>
  </cols>
  <sheetData>
    <row r="1" spans="1:10" ht="17.25" customHeight="1" thickBot="1" x14ac:dyDescent="0.3">
      <c r="A1" s="157" t="s">
        <v>38</v>
      </c>
      <c r="B1" s="158"/>
      <c r="C1" s="158"/>
      <c r="D1" s="158"/>
      <c r="E1" s="158"/>
      <c r="F1" s="158"/>
      <c r="G1" s="158"/>
      <c r="H1" s="159"/>
    </row>
    <row r="3" spans="1:10" x14ac:dyDescent="0.25">
      <c r="A3" s="64" t="s">
        <v>39</v>
      </c>
      <c r="B3" s="65" t="s">
        <v>40</v>
      </c>
      <c r="C3" s="65" t="s">
        <v>41</v>
      </c>
      <c r="D3" s="65" t="s">
        <v>42</v>
      </c>
      <c r="E3" s="66" t="s">
        <v>43</v>
      </c>
      <c r="F3" s="65" t="s">
        <v>44</v>
      </c>
      <c r="G3" s="64" t="s">
        <v>45</v>
      </c>
      <c r="H3" s="66" t="s">
        <v>46</v>
      </c>
    </row>
    <row r="4" spans="1:10" x14ac:dyDescent="0.25">
      <c r="A4" s="63">
        <v>1</v>
      </c>
      <c r="B4" s="2" t="s">
        <v>47</v>
      </c>
      <c r="C4" s="38">
        <v>853</v>
      </c>
      <c r="D4" s="59">
        <v>0.1</v>
      </c>
      <c r="E4" s="61">
        <v>0.09</v>
      </c>
      <c r="F4" s="62">
        <f>PRODUCT(C4,D4)</f>
        <v>85.300000000000011</v>
      </c>
      <c r="G4" s="71">
        <f>PRODUCT(Tabela5[[#This Row],[Salário Bruto]],Tabela5[[#This Row],[Gratificação]])</f>
        <v>76.77</v>
      </c>
      <c r="H4" s="39">
        <f>SUM(Tabela5[[#This Row],[Salário Bruto]],Tabela5[[#This Row],[Gratificação R$]]) - Tabela5[[#This Row],[INSS R$]]</f>
        <v>844.47</v>
      </c>
      <c r="J4" s="58"/>
    </row>
    <row r="5" spans="1:10" x14ac:dyDescent="0.25">
      <c r="A5" s="63">
        <v>2</v>
      </c>
      <c r="B5" s="2" t="s">
        <v>48</v>
      </c>
      <c r="C5" s="38">
        <v>951</v>
      </c>
      <c r="D5" s="59">
        <v>9.9900000000000003E-2</v>
      </c>
      <c r="E5" s="61">
        <v>0.08</v>
      </c>
      <c r="F5" s="60">
        <f t="shared" ref="F5:F11" si="0">PRODUCT(C5,D5)</f>
        <v>95.004900000000006</v>
      </c>
      <c r="G5" s="71">
        <f>PRODUCT(Tabela5[[#This Row],[Salário Bruto]],Tabela5[[#This Row],[Gratificação]])</f>
        <v>76.08</v>
      </c>
      <c r="H5" s="39">
        <f>SUM(Tabela5[[#This Row],[Salário Bruto]],Tabela5[[#This Row],[Gratificação R$]]) - Tabela5[[#This Row],[INSS R$]]</f>
        <v>932.07509999999991</v>
      </c>
    </row>
    <row r="6" spans="1:10" x14ac:dyDescent="0.25">
      <c r="A6" s="63">
        <v>3</v>
      </c>
      <c r="B6" s="2" t="s">
        <v>49</v>
      </c>
      <c r="C6" s="38">
        <v>456</v>
      </c>
      <c r="D6" s="59">
        <v>8.6400000000000005E-2</v>
      </c>
      <c r="E6" s="61">
        <v>0.06</v>
      </c>
      <c r="F6" s="60">
        <f t="shared" si="0"/>
        <v>39.398400000000002</v>
      </c>
      <c r="G6" s="71">
        <f>PRODUCT(Tabela5[[#This Row],[Salário Bruto]],Tabela5[[#This Row],[Gratificação]])</f>
        <v>27.36</v>
      </c>
      <c r="H6" s="39">
        <f>SUM(Tabela5[[#This Row],[Salário Bruto]],Tabela5[[#This Row],[Gratificação R$]]) - Tabela5[[#This Row],[INSS R$]]</f>
        <v>443.96160000000003</v>
      </c>
    </row>
    <row r="7" spans="1:10" x14ac:dyDescent="0.25">
      <c r="A7" s="63">
        <v>4</v>
      </c>
      <c r="B7" s="2" t="s">
        <v>50</v>
      </c>
      <c r="C7" s="38">
        <v>500</v>
      </c>
      <c r="D7" s="59">
        <v>8.5000000000000006E-2</v>
      </c>
      <c r="E7" s="61">
        <v>0.06</v>
      </c>
      <c r="F7" s="60">
        <f t="shared" si="0"/>
        <v>42.5</v>
      </c>
      <c r="G7" s="71">
        <f>PRODUCT(Tabela5[[#This Row],[Salário Bruto]],Tabela5[[#This Row],[Gratificação]])</f>
        <v>30</v>
      </c>
      <c r="H7" s="39">
        <f>SUM(Tabela5[[#This Row],[Salário Bruto]],Tabela5[[#This Row],[Gratificação R$]]) - Tabela5[[#This Row],[INSS R$]]</f>
        <v>487.5</v>
      </c>
    </row>
    <row r="8" spans="1:10" x14ac:dyDescent="0.25">
      <c r="A8" s="63">
        <v>5</v>
      </c>
      <c r="B8" s="2" t="s">
        <v>51</v>
      </c>
      <c r="C8" s="38">
        <v>850</v>
      </c>
      <c r="D8" s="59">
        <v>8.9899999999999994E-2</v>
      </c>
      <c r="E8" s="61">
        <v>7.0000000000000007E-2</v>
      </c>
      <c r="F8" s="60">
        <f t="shared" si="0"/>
        <v>76.414999999999992</v>
      </c>
      <c r="G8" s="71">
        <f>PRODUCT(Tabela5[[#This Row],[Salário Bruto]],Tabela5[[#This Row],[Gratificação]])</f>
        <v>59.500000000000007</v>
      </c>
      <c r="H8" s="39">
        <f>SUM(Tabela5[[#This Row],[Salário Bruto]],Tabela5[[#This Row],[Gratificação R$]]) - Tabela5[[#This Row],[INSS R$]]</f>
        <v>833.08500000000004</v>
      </c>
    </row>
    <row r="9" spans="1:10" x14ac:dyDescent="0.25">
      <c r="A9" s="63">
        <v>6</v>
      </c>
      <c r="B9" s="2" t="s">
        <v>52</v>
      </c>
      <c r="C9" s="38">
        <v>459</v>
      </c>
      <c r="D9" s="59">
        <v>6.25E-2</v>
      </c>
      <c r="E9" s="61">
        <v>0.05</v>
      </c>
      <c r="F9" s="60">
        <f t="shared" si="0"/>
        <v>28.6875</v>
      </c>
      <c r="G9" s="71">
        <f>PRODUCT(Tabela5[[#This Row],[Salário Bruto]],Tabela5[[#This Row],[Gratificação]])</f>
        <v>22.950000000000003</v>
      </c>
      <c r="H9" s="39">
        <f>SUM(Tabela5[[#This Row],[Salário Bruto]],Tabela5[[#This Row],[Gratificação R$]]) - Tabela5[[#This Row],[INSS R$]]</f>
        <v>453.26249999999999</v>
      </c>
    </row>
    <row r="10" spans="1:10" x14ac:dyDescent="0.25">
      <c r="A10" s="63">
        <v>7</v>
      </c>
      <c r="B10" s="2" t="s">
        <v>53</v>
      </c>
      <c r="C10" s="38">
        <v>478</v>
      </c>
      <c r="D10" s="59">
        <v>7.1199999999999999E-2</v>
      </c>
      <c r="E10" s="61">
        <v>0.05</v>
      </c>
      <c r="F10" s="60">
        <f t="shared" si="0"/>
        <v>34.0336</v>
      </c>
      <c r="G10" s="71">
        <f>PRODUCT(Tabela5[[#This Row],[Salário Bruto]],Tabela5[[#This Row],[Gratificação]])</f>
        <v>23.900000000000002</v>
      </c>
      <c r="H10" s="39">
        <f>SUM(Tabela5[[#This Row],[Salário Bruto]],Tabela5[[#This Row],[Gratificação R$]]) - Tabela5[[#This Row],[INSS R$]]</f>
        <v>467.8664</v>
      </c>
    </row>
    <row r="11" spans="1:10" x14ac:dyDescent="0.25">
      <c r="A11" s="67">
        <v>8</v>
      </c>
      <c r="B11" s="6" t="s">
        <v>54</v>
      </c>
      <c r="C11" s="40">
        <v>658</v>
      </c>
      <c r="D11" s="68">
        <v>5.9900000000000002E-2</v>
      </c>
      <c r="E11" s="69">
        <v>0.04</v>
      </c>
      <c r="F11" s="70">
        <f t="shared" si="0"/>
        <v>39.414200000000001</v>
      </c>
      <c r="G11" s="72">
        <f>PRODUCT(Tabela5[[#This Row],[Salário Bruto]],Tabela5[[#This Row],[Gratificação]])</f>
        <v>26.32</v>
      </c>
      <c r="H11" s="41">
        <f>SUM(Tabela5[[#This Row],[Salário Bruto]],Tabela5[[#This Row],[Gratificação R$]]) - Tabela5[[#This Row],[INSS R$]]</f>
        <v>644.9058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74A5-5E1C-4ABA-A177-726A7DE7B2CE}">
  <dimension ref="A1:E11"/>
  <sheetViews>
    <sheetView workbookViewId="0">
      <selection activeCell="G15" sqref="G15"/>
    </sheetView>
  </sheetViews>
  <sheetFormatPr defaultRowHeight="15" x14ac:dyDescent="0.25"/>
  <cols>
    <col min="1" max="1" width="16.42578125" bestFit="1" customWidth="1"/>
    <col min="3" max="3" width="13" customWidth="1"/>
    <col min="4" max="4" width="13.42578125" customWidth="1"/>
    <col min="5" max="5" width="11.42578125" customWidth="1"/>
  </cols>
  <sheetData>
    <row r="1" spans="1:5" ht="15.75" thickBot="1" x14ac:dyDescent="0.3">
      <c r="A1" s="73" t="s">
        <v>55</v>
      </c>
      <c r="B1" s="74">
        <v>2.94</v>
      </c>
    </row>
    <row r="2" spans="1:5" ht="15.75" thickBot="1" x14ac:dyDescent="0.3"/>
    <row r="3" spans="1:5" x14ac:dyDescent="0.25">
      <c r="A3" s="160" t="s">
        <v>56</v>
      </c>
      <c r="B3" s="161"/>
      <c r="C3" s="161"/>
      <c r="D3" s="161"/>
      <c r="E3" s="162"/>
    </row>
    <row r="4" spans="1:5" x14ac:dyDescent="0.25">
      <c r="A4" s="84" t="s">
        <v>57</v>
      </c>
      <c r="B4" s="65" t="s">
        <v>58</v>
      </c>
      <c r="C4" s="65" t="s">
        <v>59</v>
      </c>
      <c r="D4" s="65" t="s">
        <v>60</v>
      </c>
      <c r="E4" s="66" t="s">
        <v>61</v>
      </c>
    </row>
    <row r="5" spans="1:5" x14ac:dyDescent="0.25">
      <c r="A5" s="75" t="s">
        <v>62</v>
      </c>
      <c r="B5" s="75">
        <v>500</v>
      </c>
      <c r="C5" s="76">
        <v>0.15</v>
      </c>
      <c r="D5" s="76">
        <f>PRODUCT(B5,C5)</f>
        <v>75</v>
      </c>
      <c r="E5" s="81">
        <f>D5/$B$1</f>
        <v>25.510204081632654</v>
      </c>
    </row>
    <row r="6" spans="1:5" x14ac:dyDescent="0.25">
      <c r="A6" s="79" t="s">
        <v>63</v>
      </c>
      <c r="B6" s="79">
        <v>750</v>
      </c>
      <c r="C6" s="80">
        <v>0.15</v>
      </c>
      <c r="D6" s="80">
        <f t="shared" ref="D6:D11" si="0">PRODUCT(B6,C6)</f>
        <v>112.5</v>
      </c>
      <c r="E6" s="82">
        <f t="shared" ref="E6:E11" si="1">D6/$B$1</f>
        <v>38.265306122448983</v>
      </c>
    </row>
    <row r="7" spans="1:5" x14ac:dyDescent="0.25">
      <c r="A7" s="75" t="s">
        <v>64</v>
      </c>
      <c r="B7" s="75">
        <v>250</v>
      </c>
      <c r="C7" s="76">
        <v>10</v>
      </c>
      <c r="D7" s="76">
        <f t="shared" si="0"/>
        <v>2500</v>
      </c>
      <c r="E7" s="81">
        <f t="shared" si="1"/>
        <v>850.34013605442181</v>
      </c>
    </row>
    <row r="8" spans="1:5" x14ac:dyDescent="0.25">
      <c r="A8" s="79" t="s">
        <v>65</v>
      </c>
      <c r="B8" s="79">
        <v>310</v>
      </c>
      <c r="C8" s="80">
        <v>0.5</v>
      </c>
      <c r="D8" s="80">
        <f t="shared" si="0"/>
        <v>155</v>
      </c>
      <c r="E8" s="82">
        <f t="shared" si="1"/>
        <v>52.721088435374149</v>
      </c>
    </row>
    <row r="9" spans="1:5" x14ac:dyDescent="0.25">
      <c r="A9" s="75" t="s">
        <v>66</v>
      </c>
      <c r="B9" s="75">
        <v>500</v>
      </c>
      <c r="C9" s="76">
        <v>0.1</v>
      </c>
      <c r="D9" s="76">
        <f t="shared" si="0"/>
        <v>50</v>
      </c>
      <c r="E9" s="81">
        <f t="shared" si="1"/>
        <v>17.006802721088437</v>
      </c>
    </row>
    <row r="10" spans="1:5" x14ac:dyDescent="0.25">
      <c r="A10" s="79" t="s">
        <v>67</v>
      </c>
      <c r="B10" s="79">
        <v>1500</v>
      </c>
      <c r="C10" s="80">
        <v>2.5</v>
      </c>
      <c r="D10" s="80">
        <f t="shared" si="0"/>
        <v>3750</v>
      </c>
      <c r="E10" s="82">
        <f t="shared" si="1"/>
        <v>1275.5102040816328</v>
      </c>
    </row>
    <row r="11" spans="1:5" ht="15.75" thickBot="1" x14ac:dyDescent="0.3">
      <c r="A11" s="75" t="s">
        <v>68</v>
      </c>
      <c r="B11" s="77">
        <v>190</v>
      </c>
      <c r="C11" s="78">
        <v>6</v>
      </c>
      <c r="D11" s="78">
        <f t="shared" si="0"/>
        <v>1140</v>
      </c>
      <c r="E11" s="83">
        <f t="shared" si="1"/>
        <v>387.75510204081633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0D2A-6C85-4539-8631-80F4BBE8D280}">
  <dimension ref="A1:G9"/>
  <sheetViews>
    <sheetView workbookViewId="0">
      <selection activeCell="A2" sqref="A2:D2"/>
    </sheetView>
  </sheetViews>
  <sheetFormatPr defaultRowHeight="15" x14ac:dyDescent="0.25"/>
  <cols>
    <col min="1" max="1" width="19" bestFit="1" customWidth="1"/>
    <col min="2" max="2" width="12.140625" bestFit="1" customWidth="1"/>
    <col min="3" max="3" width="11.42578125" customWidth="1"/>
    <col min="4" max="4" width="14.28515625" customWidth="1"/>
    <col min="6" max="6" width="12.140625" bestFit="1" customWidth="1"/>
  </cols>
  <sheetData>
    <row r="1" spans="1:7" x14ac:dyDescent="0.25">
      <c r="A1" s="88" t="s">
        <v>69</v>
      </c>
      <c r="B1" s="89" t="s">
        <v>70</v>
      </c>
      <c r="C1" s="89" t="s">
        <v>71</v>
      </c>
      <c r="D1" s="90" t="s">
        <v>72</v>
      </c>
    </row>
    <row r="2" spans="1:7" x14ac:dyDescent="0.25">
      <c r="A2" s="4" t="s">
        <v>73</v>
      </c>
      <c r="B2" s="60">
        <v>900</v>
      </c>
      <c r="C2" s="60">
        <f>IF(B2 &lt;= 1000,PRODUCT(B2,$G$3),PRODUCT(B2,$G$4))</f>
        <v>360</v>
      </c>
      <c r="D2" s="86">
        <f>SUM(B2,C2)</f>
        <v>1260</v>
      </c>
    </row>
    <row r="3" spans="1:7" x14ac:dyDescent="0.25">
      <c r="A3" s="4" t="s">
        <v>74</v>
      </c>
      <c r="B3" s="60">
        <v>1200</v>
      </c>
      <c r="C3" s="60">
        <f t="shared" ref="C3:C9" si="0">IF(B3 &lt;= 1000,PRODUCT(B3,$G$3),PRODUCT(B3,$G$4))</f>
        <v>360</v>
      </c>
      <c r="D3" s="86">
        <f t="shared" ref="D3:D9" si="1">SUM(B3,C3)</f>
        <v>1560</v>
      </c>
      <c r="F3" s="91" t="s">
        <v>81</v>
      </c>
      <c r="G3" s="92">
        <v>0.4</v>
      </c>
    </row>
    <row r="4" spans="1:7" x14ac:dyDescent="0.25">
      <c r="A4" s="4" t="s">
        <v>75</v>
      </c>
      <c r="B4" s="60">
        <v>1500</v>
      </c>
      <c r="C4" s="60">
        <f t="shared" si="0"/>
        <v>450</v>
      </c>
      <c r="D4" s="86">
        <f t="shared" si="1"/>
        <v>1950</v>
      </c>
      <c r="F4" s="91" t="s">
        <v>82</v>
      </c>
      <c r="G4" s="93">
        <v>0.3</v>
      </c>
    </row>
    <row r="5" spans="1:7" x14ac:dyDescent="0.25">
      <c r="A5" s="4" t="s">
        <v>76</v>
      </c>
      <c r="B5" s="60">
        <v>2000</v>
      </c>
      <c r="C5" s="60">
        <f t="shared" si="0"/>
        <v>600</v>
      </c>
      <c r="D5" s="86">
        <f t="shared" si="1"/>
        <v>2600</v>
      </c>
    </row>
    <row r="6" spans="1:7" x14ac:dyDescent="0.25">
      <c r="A6" s="4" t="s">
        <v>77</v>
      </c>
      <c r="B6" s="60">
        <v>1400</v>
      </c>
      <c r="C6" s="60">
        <f t="shared" si="0"/>
        <v>420</v>
      </c>
      <c r="D6" s="86">
        <f t="shared" si="1"/>
        <v>1820</v>
      </c>
      <c r="F6" s="85"/>
    </row>
    <row r="7" spans="1:7" x14ac:dyDescent="0.25">
      <c r="A7" s="4" t="s">
        <v>78</v>
      </c>
      <c r="B7" s="60">
        <v>990</v>
      </c>
      <c r="C7" s="60">
        <f t="shared" si="0"/>
        <v>396</v>
      </c>
      <c r="D7" s="86">
        <f t="shared" si="1"/>
        <v>1386</v>
      </c>
    </row>
    <row r="8" spans="1:7" x14ac:dyDescent="0.25">
      <c r="A8" s="4" t="s">
        <v>79</v>
      </c>
      <c r="B8" s="60">
        <v>854</v>
      </c>
      <c r="C8" s="60">
        <f t="shared" si="0"/>
        <v>341.6</v>
      </c>
      <c r="D8" s="86">
        <f t="shared" si="1"/>
        <v>1195.5999999999999</v>
      </c>
    </row>
    <row r="9" spans="1:7" x14ac:dyDescent="0.25">
      <c r="A9" s="5" t="s">
        <v>80</v>
      </c>
      <c r="B9" s="70">
        <v>1100</v>
      </c>
      <c r="C9" s="70">
        <f t="shared" si="0"/>
        <v>330</v>
      </c>
      <c r="D9" s="87">
        <f t="shared" si="1"/>
        <v>1430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3EF7-09B0-4548-8772-F017E3945EEA}">
  <dimension ref="A1:F17"/>
  <sheetViews>
    <sheetView workbookViewId="0">
      <selection activeCell="N11" sqref="N11"/>
    </sheetView>
  </sheetViews>
  <sheetFormatPr defaultRowHeight="15" x14ac:dyDescent="0.25"/>
  <cols>
    <col min="1" max="1" width="15.28515625" bestFit="1" customWidth="1"/>
    <col min="2" max="2" width="11.42578125" customWidth="1"/>
    <col min="3" max="3" width="11.85546875" customWidth="1"/>
    <col min="4" max="4" width="13.140625" bestFit="1" customWidth="1"/>
    <col min="5" max="5" width="11.85546875" customWidth="1"/>
    <col min="6" max="6" width="12.140625" bestFit="1" customWidth="1"/>
  </cols>
  <sheetData>
    <row r="1" spans="1:6" ht="15.75" thickBot="1" x14ac:dyDescent="0.3">
      <c r="A1" s="163" t="s">
        <v>83</v>
      </c>
      <c r="B1" s="164"/>
      <c r="C1" s="164"/>
      <c r="D1" s="164"/>
      <c r="E1" s="164"/>
      <c r="F1" s="165"/>
    </row>
    <row r="3" spans="1:6" x14ac:dyDescent="0.25">
      <c r="A3" s="96" t="s">
        <v>84</v>
      </c>
      <c r="B3" s="96" t="s">
        <v>85</v>
      </c>
      <c r="C3" s="96" t="s">
        <v>86</v>
      </c>
      <c r="D3" s="96" t="s">
        <v>87</v>
      </c>
      <c r="E3" s="96" t="s">
        <v>88</v>
      </c>
      <c r="F3" s="96" t="s">
        <v>89</v>
      </c>
    </row>
    <row r="4" spans="1:6" x14ac:dyDescent="0.25">
      <c r="A4" s="94"/>
      <c r="B4" s="95">
        <v>140000</v>
      </c>
      <c r="C4" s="95">
        <v>165000</v>
      </c>
      <c r="D4" s="95">
        <v>208000</v>
      </c>
      <c r="E4" s="95">
        <v>280000</v>
      </c>
      <c r="F4" s="95">
        <f>SUM(B4:E4)</f>
        <v>793000</v>
      </c>
    </row>
    <row r="6" spans="1:6" x14ac:dyDescent="0.25">
      <c r="A6" s="96" t="s">
        <v>90</v>
      </c>
      <c r="B6" s="96" t="s">
        <v>85</v>
      </c>
      <c r="C6" s="96" t="s">
        <v>86</v>
      </c>
      <c r="D6" s="96" t="s">
        <v>87</v>
      </c>
      <c r="E6" s="96" t="s">
        <v>88</v>
      </c>
      <c r="F6" s="96" t="s">
        <v>89</v>
      </c>
    </row>
    <row r="7" spans="1:6" x14ac:dyDescent="0.25">
      <c r="A7" s="94" t="s">
        <v>91</v>
      </c>
      <c r="B7" s="95">
        <v>20000</v>
      </c>
      <c r="C7" s="95">
        <v>26000</v>
      </c>
      <c r="D7" s="95">
        <v>33800</v>
      </c>
      <c r="E7" s="95">
        <v>43940</v>
      </c>
      <c r="F7" s="95">
        <f>SUM(B7:E7)</f>
        <v>123740</v>
      </c>
    </row>
    <row r="8" spans="1:6" x14ac:dyDescent="0.25">
      <c r="A8" s="100" t="s">
        <v>92</v>
      </c>
      <c r="B8" s="101">
        <v>20000</v>
      </c>
      <c r="C8" s="101">
        <v>15600</v>
      </c>
      <c r="D8" s="101">
        <v>20280</v>
      </c>
      <c r="E8" s="101">
        <v>26364</v>
      </c>
      <c r="F8" s="101">
        <f t="shared" ref="F8:F12" si="0">SUM(B8:E8)</f>
        <v>82244</v>
      </c>
    </row>
    <row r="9" spans="1:6" x14ac:dyDescent="0.25">
      <c r="A9" s="94" t="s">
        <v>93</v>
      </c>
      <c r="B9" s="95">
        <v>12000</v>
      </c>
      <c r="C9" s="95">
        <v>20930</v>
      </c>
      <c r="D9" s="95">
        <v>27209</v>
      </c>
      <c r="E9" s="95">
        <v>35371.699999999997</v>
      </c>
      <c r="F9" s="95">
        <f t="shared" si="0"/>
        <v>95510.7</v>
      </c>
    </row>
    <row r="10" spans="1:6" x14ac:dyDescent="0.25">
      <c r="A10" s="100" t="s">
        <v>94</v>
      </c>
      <c r="B10" s="101">
        <v>16100</v>
      </c>
      <c r="C10" s="101">
        <v>28870</v>
      </c>
      <c r="D10" s="101">
        <v>33631</v>
      </c>
      <c r="E10" s="101">
        <v>43720.3</v>
      </c>
      <c r="F10" s="101">
        <f t="shared" si="0"/>
        <v>122321.3</v>
      </c>
    </row>
    <row r="11" spans="1:6" x14ac:dyDescent="0.25">
      <c r="A11" s="94" t="s">
        <v>95</v>
      </c>
      <c r="B11" s="95">
        <v>19900</v>
      </c>
      <c r="C11" s="95">
        <v>39000</v>
      </c>
      <c r="D11" s="95">
        <v>50700</v>
      </c>
      <c r="E11" s="95">
        <v>65910</v>
      </c>
      <c r="F11" s="95">
        <f t="shared" si="0"/>
        <v>175510</v>
      </c>
    </row>
    <row r="12" spans="1:6" x14ac:dyDescent="0.25">
      <c r="A12" s="100" t="s">
        <v>96</v>
      </c>
      <c r="B12" s="101">
        <v>25000</v>
      </c>
      <c r="C12" s="101">
        <v>32500</v>
      </c>
      <c r="D12" s="101">
        <v>42250</v>
      </c>
      <c r="E12" s="101">
        <v>54925</v>
      </c>
      <c r="F12" s="101">
        <f t="shared" si="0"/>
        <v>154675</v>
      </c>
    </row>
    <row r="14" spans="1:6" x14ac:dyDescent="0.25">
      <c r="A14" s="91" t="s">
        <v>97</v>
      </c>
      <c r="B14" s="95">
        <f>SUM(B7:B12)</f>
        <v>113000</v>
      </c>
      <c r="C14" s="95">
        <f t="shared" ref="C14:E14" si="1">SUM(C7:C12)</f>
        <v>162900</v>
      </c>
      <c r="D14" s="95">
        <f t="shared" si="1"/>
        <v>207870</v>
      </c>
      <c r="E14" s="95">
        <f t="shared" si="1"/>
        <v>270231</v>
      </c>
    </row>
    <row r="15" spans="1:6" x14ac:dyDescent="0.25">
      <c r="A15" s="91" t="s">
        <v>98</v>
      </c>
      <c r="B15" s="101">
        <f>B4-B14</f>
        <v>27000</v>
      </c>
      <c r="C15" s="101">
        <f t="shared" ref="C15:E15" si="2">C4-C14</f>
        <v>2100</v>
      </c>
      <c r="D15" s="101">
        <f t="shared" si="2"/>
        <v>130</v>
      </c>
      <c r="E15" s="101">
        <f t="shared" si="2"/>
        <v>9769</v>
      </c>
    </row>
    <row r="16" spans="1:6" x14ac:dyDescent="0.25">
      <c r="A16" s="91" t="s">
        <v>99</v>
      </c>
      <c r="B16" s="2" t="str" cm="1">
        <f t="array" ref="B16">_xlfn.IFS(B15 &lt; 1000, "Prejuízo Total", B15 &lt; 5000, "Lucro Médio", B15 &gt; 5000, "Lucro Total")</f>
        <v>Lucro Total</v>
      </c>
      <c r="C16" s="2" t="str" cm="1">
        <f t="array" ref="C16">_xlfn.IFS(C15 &lt; 1000, "Prejuízo Total", C15 &lt; 5000, "Lucro Médio", C15 &gt; 5000, "Lucro Total")</f>
        <v>Lucro Médio</v>
      </c>
      <c r="D16" s="2" t="str" cm="1">
        <f t="array" ref="D16">_xlfn.IFS(D15 &lt; 1000, "Prejuízo Total", D15 &lt; 5000, "Lucro Médio", D15 &gt; 5000, "Lucro Total")</f>
        <v>Prejuízo Total</v>
      </c>
      <c r="E16" s="2" t="str" cm="1">
        <f t="array" ref="E16">_xlfn.IFS(E15 &lt; 1000, "Prejuízo Total", E15 &lt; 5000, "Lucro Médio", E15 &gt; 5000, "Lucro Total")</f>
        <v>Lucro Total</v>
      </c>
    </row>
    <row r="17" spans="3:6" x14ac:dyDescent="0.25">
      <c r="C17" s="166" t="s">
        <v>100</v>
      </c>
      <c r="D17" s="167"/>
      <c r="E17" s="168"/>
      <c r="F17" s="102">
        <f>SUM(F7:F12)</f>
        <v>754001</v>
      </c>
    </row>
  </sheetData>
  <mergeCells count="2">
    <mergeCell ref="A1:F1"/>
    <mergeCell ref="C17:E17"/>
  </mergeCells>
  <conditionalFormatting sqref="B16:E16">
    <cfRule type="containsText" dxfId="19" priority="1" stopIfTrue="1" operator="containsText" text="Prejuízo Total">
      <formula>NOT(ISERROR(SEARCH("Prejuízo Total",B16)))</formula>
    </cfRule>
    <cfRule type="containsText" dxfId="18" priority="2" stopIfTrue="1" operator="containsText" text="Lucro Médio">
      <formula>NOT(ISERROR(SEARCH("Lucro Médio",B16)))</formula>
    </cfRule>
    <cfRule type="containsText" dxfId="17" priority="3" stopIfTrue="1" operator="containsText" text="Lucro Total">
      <formula>NOT(ISERROR(SEARCH("Lucro Total",B16)))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523E-3639-485E-B2AD-92DE17C38995}">
  <dimension ref="A1:G8"/>
  <sheetViews>
    <sheetView workbookViewId="0">
      <selection activeCell="F13" sqref="F13"/>
    </sheetView>
  </sheetViews>
  <sheetFormatPr defaultRowHeight="15" x14ac:dyDescent="0.25"/>
  <cols>
    <col min="1" max="1" width="10.28515625" customWidth="1"/>
    <col min="2" max="2" width="11.85546875" customWidth="1"/>
    <col min="3" max="3" width="12.7109375" customWidth="1"/>
    <col min="4" max="4" width="12" customWidth="1"/>
    <col min="6" max="6" width="18.42578125" bestFit="1" customWidth="1"/>
  </cols>
  <sheetData>
    <row r="1" spans="1:7" x14ac:dyDescent="0.25">
      <c r="A1" s="169" t="s">
        <v>101</v>
      </c>
      <c r="B1" s="170"/>
      <c r="C1" s="170"/>
      <c r="D1" s="171"/>
      <c r="F1" s="172" t="s">
        <v>109</v>
      </c>
      <c r="G1" s="173"/>
    </row>
    <row r="2" spans="1:7" x14ac:dyDescent="0.25">
      <c r="A2" s="120" t="s">
        <v>2</v>
      </c>
      <c r="B2" s="121" t="s">
        <v>3</v>
      </c>
      <c r="C2" s="121" t="s">
        <v>4</v>
      </c>
      <c r="D2" s="122" t="s">
        <v>102</v>
      </c>
      <c r="F2" s="107" t="s">
        <v>110</v>
      </c>
      <c r="G2" s="106">
        <v>20</v>
      </c>
    </row>
    <row r="3" spans="1:7" x14ac:dyDescent="0.25">
      <c r="A3" s="114" t="s">
        <v>103</v>
      </c>
      <c r="B3" s="115">
        <v>4665</v>
      </c>
      <c r="C3" s="115">
        <v>4654</v>
      </c>
      <c r="D3" s="116" t="str">
        <f>IF(Tabela7[[#This Row],[Jan]] = Tabela7[[#This Row],[Fev]], "Igual", IF(Tabela7[[#This Row],[Jan]] &gt; Tabela7[[#This Row],[Fev]], "Maior","Menor"))</f>
        <v>Maior</v>
      </c>
      <c r="F3" s="104" t="s">
        <v>111</v>
      </c>
      <c r="G3" s="105">
        <v>18</v>
      </c>
    </row>
    <row r="4" spans="1:7" ht="15.75" thickBot="1" x14ac:dyDescent="0.3">
      <c r="A4" s="108" t="s">
        <v>104</v>
      </c>
      <c r="B4" s="109">
        <v>16574</v>
      </c>
      <c r="C4" s="109">
        <v>24348</v>
      </c>
      <c r="D4" s="110" t="str">
        <f>IF(Tabela7[[#This Row],[Jan]] = Tabela7[[#This Row],[Fev]], "Igual", IF(Tabela7[[#This Row],[Jan]] &gt; Tabela7[[#This Row],[Fev]], "Maior","Menor"))</f>
        <v>Menor</v>
      </c>
      <c r="F4" s="117" t="s">
        <v>112</v>
      </c>
      <c r="G4" s="118">
        <v>24</v>
      </c>
    </row>
    <row r="5" spans="1:7" ht="15.75" thickBot="1" x14ac:dyDescent="0.3">
      <c r="A5" s="114" t="s">
        <v>105</v>
      </c>
      <c r="B5" s="115">
        <v>1654</v>
      </c>
      <c r="C5" s="115">
        <v>6468</v>
      </c>
      <c r="D5" s="116" t="str">
        <f>IF(Tabela7[[#This Row],[Jan]] = Tabela7[[#This Row],[Fev]], "Igual", IF(Tabela7[[#This Row],[Jan]] &gt; Tabela7[[#This Row],[Fev]], "Maior","Menor"))</f>
        <v>Menor</v>
      </c>
      <c r="F5" s="103"/>
    </row>
    <row r="6" spans="1:7" ht="15.75" thickBot="1" x14ac:dyDescent="0.3">
      <c r="A6" s="108" t="s">
        <v>106</v>
      </c>
      <c r="B6" s="109">
        <v>654</v>
      </c>
      <c r="C6" s="109">
        <v>654</v>
      </c>
      <c r="D6" s="110" t="str">
        <f>IF(Tabela7[[#This Row],[Jan]] = Tabela7[[#This Row],[Fev]], "Igual", IF(Tabela7[[#This Row],[Jan]] &gt; Tabela7[[#This Row],[Fev]], "Maior","Menor"))</f>
        <v>Igual</v>
      </c>
      <c r="F6" s="123" t="s">
        <v>102</v>
      </c>
      <c r="G6" s="119" t="str">
        <f>IF(AND(G2 &gt;= 18,G2 &lt;=24), "Dentro","Fora")</f>
        <v>Dentro</v>
      </c>
    </row>
    <row r="7" spans="1:7" x14ac:dyDescent="0.25">
      <c r="A7" s="114" t="s">
        <v>107</v>
      </c>
      <c r="B7" s="115">
        <v>413</v>
      </c>
      <c r="C7" s="115">
        <v>434</v>
      </c>
      <c r="D7" s="116" t="str">
        <f>IF(Tabela7[[#This Row],[Jan]] = Tabela7[[#This Row],[Fev]], "Igual", IF(Tabela7[[#This Row],[Jan]] &gt; Tabela7[[#This Row],[Fev]], "Maior","Menor"))</f>
        <v>Menor</v>
      </c>
    </row>
    <row r="8" spans="1:7" x14ac:dyDescent="0.25">
      <c r="A8" s="111" t="s">
        <v>108</v>
      </c>
      <c r="B8" s="112">
        <v>65765</v>
      </c>
      <c r="C8" s="112">
        <v>54646</v>
      </c>
      <c r="D8" s="113" t="str">
        <f>IF(Tabela7[[#This Row],[Jan]] = Tabela7[[#This Row],[Fev]], "Igual", IF(Tabela7[[#This Row],[Jan]] &gt; Tabela7[[#This Row],[Fev]], "Maior","Menor"))</f>
        <v>Maior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7DD6-2364-4420-A3A9-6D2BD0772D44}">
  <dimension ref="A1:E22"/>
  <sheetViews>
    <sheetView workbookViewId="0">
      <selection activeCell="C22" sqref="C22"/>
    </sheetView>
  </sheetViews>
  <sheetFormatPr defaultRowHeight="15" x14ac:dyDescent="0.25"/>
  <cols>
    <col min="1" max="1" width="9.28515625" bestFit="1" customWidth="1"/>
    <col min="2" max="2" width="27" bestFit="1" customWidth="1"/>
    <col min="3" max="3" width="17.7109375" bestFit="1" customWidth="1"/>
    <col min="4" max="4" width="15.140625" bestFit="1" customWidth="1"/>
  </cols>
  <sheetData>
    <row r="1" spans="1:5" x14ac:dyDescent="0.25">
      <c r="A1" s="64" t="s">
        <v>69</v>
      </c>
      <c r="B1" s="65" t="s">
        <v>113</v>
      </c>
      <c r="C1" s="65" t="s">
        <v>114</v>
      </c>
      <c r="D1" s="65" t="s">
        <v>115</v>
      </c>
      <c r="E1" s="66" t="s">
        <v>116</v>
      </c>
    </row>
    <row r="2" spans="1:5" x14ac:dyDescent="0.25">
      <c r="A2" s="4" t="s">
        <v>117</v>
      </c>
      <c r="B2" s="2" t="s">
        <v>161</v>
      </c>
      <c r="C2" s="2" t="s">
        <v>149</v>
      </c>
      <c r="D2" s="2" t="s">
        <v>136</v>
      </c>
      <c r="E2" s="125" t="s">
        <v>128</v>
      </c>
    </row>
    <row r="3" spans="1:5" x14ac:dyDescent="0.25">
      <c r="A3" s="4" t="s">
        <v>47</v>
      </c>
      <c r="B3" s="2" t="s">
        <v>162</v>
      </c>
      <c r="C3" s="2" t="s">
        <v>150</v>
      </c>
      <c r="D3" s="2" t="s">
        <v>137</v>
      </c>
      <c r="E3" s="125" t="s">
        <v>128</v>
      </c>
    </row>
    <row r="4" spans="1:5" x14ac:dyDescent="0.25">
      <c r="A4" s="4" t="s">
        <v>118</v>
      </c>
      <c r="B4" s="2" t="s">
        <v>163</v>
      </c>
      <c r="C4" s="2" t="s">
        <v>149</v>
      </c>
      <c r="D4" s="2" t="s">
        <v>138</v>
      </c>
      <c r="E4" s="125" t="s">
        <v>129</v>
      </c>
    </row>
    <row r="5" spans="1:5" x14ac:dyDescent="0.25">
      <c r="A5" s="4" t="s">
        <v>119</v>
      </c>
      <c r="B5" s="2" t="s">
        <v>164</v>
      </c>
      <c r="C5" s="2" t="s">
        <v>151</v>
      </c>
      <c r="D5" s="2" t="s">
        <v>139</v>
      </c>
      <c r="E5" s="125" t="s">
        <v>128</v>
      </c>
    </row>
    <row r="6" spans="1:5" x14ac:dyDescent="0.25">
      <c r="A6" s="4" t="s">
        <v>50</v>
      </c>
      <c r="B6" s="2" t="s">
        <v>165</v>
      </c>
      <c r="C6" s="2" t="s">
        <v>152</v>
      </c>
      <c r="D6" s="2" t="s">
        <v>140</v>
      </c>
      <c r="E6" s="125" t="s">
        <v>128</v>
      </c>
    </row>
    <row r="7" spans="1:5" x14ac:dyDescent="0.25">
      <c r="A7" s="4" t="s">
        <v>49</v>
      </c>
      <c r="B7" s="2" t="s">
        <v>166</v>
      </c>
      <c r="C7" s="2" t="s">
        <v>149</v>
      </c>
      <c r="D7" s="2" t="s">
        <v>141</v>
      </c>
      <c r="E7" s="125" t="s">
        <v>130</v>
      </c>
    </row>
    <row r="8" spans="1:5" x14ac:dyDescent="0.25">
      <c r="A8" s="4" t="s">
        <v>120</v>
      </c>
      <c r="B8" s="2" t="s">
        <v>167</v>
      </c>
      <c r="C8" s="2" t="s">
        <v>153</v>
      </c>
      <c r="D8" s="2" t="s">
        <v>142</v>
      </c>
      <c r="E8" s="125" t="s">
        <v>128</v>
      </c>
    </row>
    <row r="9" spans="1:5" x14ac:dyDescent="0.25">
      <c r="A9" s="4" t="s">
        <v>121</v>
      </c>
      <c r="B9" s="2" t="s">
        <v>168</v>
      </c>
      <c r="C9" s="2" t="s">
        <v>154</v>
      </c>
      <c r="D9" s="2" t="s">
        <v>143</v>
      </c>
      <c r="E9" s="125" t="s">
        <v>128</v>
      </c>
    </row>
    <row r="10" spans="1:5" x14ac:dyDescent="0.25">
      <c r="A10" s="4" t="s">
        <v>122</v>
      </c>
      <c r="B10" s="2" t="s">
        <v>169</v>
      </c>
      <c r="C10" s="2" t="s">
        <v>155</v>
      </c>
      <c r="D10" s="2" t="s">
        <v>144</v>
      </c>
      <c r="E10" s="125" t="s">
        <v>131</v>
      </c>
    </row>
    <row r="11" spans="1:5" x14ac:dyDescent="0.25">
      <c r="A11" s="4" t="s">
        <v>48</v>
      </c>
      <c r="B11" s="2" t="s">
        <v>170</v>
      </c>
      <c r="C11" s="2" t="s">
        <v>156</v>
      </c>
      <c r="D11" s="2" t="s">
        <v>145</v>
      </c>
      <c r="E11" s="125" t="s">
        <v>132</v>
      </c>
    </row>
    <row r="12" spans="1:5" x14ac:dyDescent="0.25">
      <c r="A12" s="4" t="s">
        <v>123</v>
      </c>
      <c r="B12" s="2" t="s">
        <v>171</v>
      </c>
      <c r="C12" s="2" t="s">
        <v>157</v>
      </c>
      <c r="D12" s="2" t="s">
        <v>139</v>
      </c>
      <c r="E12" s="125" t="s">
        <v>128</v>
      </c>
    </row>
    <row r="13" spans="1:5" x14ac:dyDescent="0.25">
      <c r="A13" s="4" t="s">
        <v>124</v>
      </c>
      <c r="B13" s="2" t="s">
        <v>172</v>
      </c>
      <c r="C13" s="2" t="s">
        <v>158</v>
      </c>
      <c r="D13" s="2" t="s">
        <v>137</v>
      </c>
      <c r="E13" s="125" t="s">
        <v>128</v>
      </c>
    </row>
    <row r="14" spans="1:5" x14ac:dyDescent="0.25">
      <c r="A14" s="4" t="s">
        <v>125</v>
      </c>
      <c r="B14" s="2" t="s">
        <v>173</v>
      </c>
      <c r="C14" s="2" t="s">
        <v>149</v>
      </c>
      <c r="D14" s="2" t="s">
        <v>146</v>
      </c>
      <c r="E14" s="125" t="s">
        <v>133</v>
      </c>
    </row>
    <row r="15" spans="1:5" x14ac:dyDescent="0.25">
      <c r="A15" s="4" t="s">
        <v>126</v>
      </c>
      <c r="B15" s="2" t="s">
        <v>174</v>
      </c>
      <c r="C15" s="2" t="s">
        <v>159</v>
      </c>
      <c r="D15" s="2" t="s">
        <v>147</v>
      </c>
      <c r="E15" s="125" t="s">
        <v>134</v>
      </c>
    </row>
    <row r="16" spans="1:5" x14ac:dyDescent="0.25">
      <c r="A16" s="5" t="s">
        <v>127</v>
      </c>
      <c r="B16" s="6" t="s">
        <v>175</v>
      </c>
      <c r="C16" s="6" t="s">
        <v>160</v>
      </c>
      <c r="D16" s="6" t="s">
        <v>148</v>
      </c>
      <c r="E16" s="8" t="s">
        <v>135</v>
      </c>
    </row>
    <row r="18" spans="1:2" x14ac:dyDescent="0.25">
      <c r="A18" s="124" t="s">
        <v>69</v>
      </c>
      <c r="B18" s="75" t="s">
        <v>122</v>
      </c>
    </row>
    <row r="19" spans="1:2" x14ac:dyDescent="0.25">
      <c r="A19" s="124" t="s">
        <v>113</v>
      </c>
      <c r="B19" s="79" t="str">
        <f>VLOOKUP(B18,Tabela6[],2,)</f>
        <v>Av. dos Jequitibas, 11</v>
      </c>
    </row>
    <row r="20" spans="1:2" x14ac:dyDescent="0.25">
      <c r="A20" s="124" t="s">
        <v>114</v>
      </c>
      <c r="B20" s="75" t="str">
        <f>VLOOKUP(B18,Tabela6[],3,FALSE)</f>
        <v>Jd. Paulista</v>
      </c>
    </row>
    <row r="21" spans="1:2" x14ac:dyDescent="0.25">
      <c r="A21" s="124" t="s">
        <v>115</v>
      </c>
      <c r="B21" s="79" t="str">
        <f>VLOOKUP(B18,Tabela6[],4,FALSE)</f>
        <v>Florianópolis</v>
      </c>
    </row>
    <row r="22" spans="1:2" x14ac:dyDescent="0.25">
      <c r="A22" s="124" t="s">
        <v>116</v>
      </c>
      <c r="B22" s="75" t="str">
        <f>VLOOKUP(B18,Tabela6[],5,FALSE)</f>
        <v>SC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200-E1D9-4874-8E84-120407F79C95}">
  <dimension ref="A1:H19"/>
  <sheetViews>
    <sheetView tabSelected="1" workbookViewId="0">
      <selection activeCell="K25" sqref="K25"/>
    </sheetView>
  </sheetViews>
  <sheetFormatPr defaultRowHeight="15" x14ac:dyDescent="0.25"/>
  <cols>
    <col min="1" max="1" width="16" bestFit="1" customWidth="1"/>
    <col min="3" max="3" width="12" customWidth="1"/>
    <col min="4" max="4" width="11.85546875" customWidth="1"/>
    <col min="5" max="5" width="15.140625" customWidth="1"/>
    <col min="8" max="8" width="11.28515625" customWidth="1"/>
  </cols>
  <sheetData>
    <row r="1" spans="1:8" ht="15.75" thickBot="1" x14ac:dyDescent="0.3">
      <c r="A1" s="163" t="s">
        <v>176</v>
      </c>
      <c r="B1" s="183"/>
      <c r="D1" s="174" t="s">
        <v>178</v>
      </c>
      <c r="E1" s="175"/>
      <c r="F1" s="176"/>
    </row>
    <row r="2" spans="1:8" ht="15.75" thickBot="1" x14ac:dyDescent="0.3">
      <c r="D2" s="177"/>
      <c r="E2" s="178"/>
      <c r="F2" s="179"/>
    </row>
    <row r="3" spans="1:8" ht="15.75" thickBot="1" x14ac:dyDescent="0.3">
      <c r="A3" s="126" t="s">
        <v>177</v>
      </c>
      <c r="B3" s="147">
        <v>0.125</v>
      </c>
      <c r="D3" s="180"/>
      <c r="E3" s="181"/>
      <c r="F3" s="182"/>
    </row>
    <row r="4" spans="1:8" ht="15.75" thickBot="1" x14ac:dyDescent="0.3">
      <c r="A4" s="127" t="s">
        <v>55</v>
      </c>
      <c r="B4" s="148">
        <v>3.34</v>
      </c>
    </row>
    <row r="5" spans="1:8" ht="15.75" thickBot="1" x14ac:dyDescent="0.3"/>
    <row r="6" spans="1:8" ht="15.75" thickBot="1" x14ac:dyDescent="0.3">
      <c r="C6" s="184" t="s">
        <v>184</v>
      </c>
      <c r="D6" s="185"/>
      <c r="E6" s="186"/>
      <c r="F6" s="187" t="s">
        <v>185</v>
      </c>
      <c r="G6" s="188"/>
      <c r="H6" s="189"/>
    </row>
    <row r="7" spans="1:8" ht="15.75" thickBot="1" x14ac:dyDescent="0.3">
      <c r="A7" s="128" t="s">
        <v>2</v>
      </c>
      <c r="B7" s="128" t="s">
        <v>179</v>
      </c>
      <c r="C7" s="128" t="s">
        <v>180</v>
      </c>
      <c r="D7" s="128" t="s">
        <v>181</v>
      </c>
      <c r="E7" s="128" t="s">
        <v>182</v>
      </c>
      <c r="F7" s="128" t="s">
        <v>183</v>
      </c>
      <c r="G7" s="128" t="s">
        <v>181</v>
      </c>
      <c r="H7" s="128" t="s">
        <v>182</v>
      </c>
    </row>
    <row r="8" spans="1:8" x14ac:dyDescent="0.25">
      <c r="A8" s="129" t="s">
        <v>186</v>
      </c>
      <c r="B8" s="130">
        <v>500</v>
      </c>
      <c r="C8" s="131">
        <v>0.5</v>
      </c>
      <c r="D8" s="131">
        <v>0.55000000000000004</v>
      </c>
      <c r="E8" s="131">
        <f>PRODUCT(D8,B8)</f>
        <v>275</v>
      </c>
      <c r="F8" s="132">
        <f>C8/$B$4</f>
        <v>0.14970059880239522</v>
      </c>
      <c r="G8" s="132">
        <f>PRODUCT(F8,1+$B$3)</f>
        <v>0.16841317365269462</v>
      </c>
      <c r="H8" s="133">
        <f>PRODUCT(G8,B8)</f>
        <v>84.206586826347305</v>
      </c>
    </row>
    <row r="9" spans="1:8" x14ac:dyDescent="0.25">
      <c r="A9" s="139" t="s">
        <v>187</v>
      </c>
      <c r="B9" s="100">
        <v>200</v>
      </c>
      <c r="C9" s="140">
        <v>2.57</v>
      </c>
      <c r="D9" s="140">
        <v>2.7</v>
      </c>
      <c r="E9" s="141">
        <f t="shared" ref="E9:E18" si="0">PRODUCT(D9,B9)</f>
        <v>540</v>
      </c>
      <c r="F9" s="142">
        <f t="shared" ref="F9:F18" si="1">C9/$B$4</f>
        <v>0.76946107784431139</v>
      </c>
      <c r="G9" s="142">
        <f t="shared" ref="G9:G18" si="2">PRODUCT(F9,1+$B$3)</f>
        <v>0.86564371257485029</v>
      </c>
      <c r="H9" s="143">
        <f t="shared" ref="H9:H18" si="3">PRODUCT(G9,B9)</f>
        <v>173.12874251497007</v>
      </c>
    </row>
    <row r="10" spans="1:8" x14ac:dyDescent="0.25">
      <c r="A10" s="134" t="s">
        <v>188</v>
      </c>
      <c r="B10" s="94">
        <v>300</v>
      </c>
      <c r="C10" s="135">
        <v>5</v>
      </c>
      <c r="D10" s="135">
        <v>5.5</v>
      </c>
      <c r="E10" s="131">
        <f t="shared" si="0"/>
        <v>1650</v>
      </c>
      <c r="F10" s="132">
        <f t="shared" si="1"/>
        <v>1.4970059880239521</v>
      </c>
      <c r="G10" s="132">
        <f t="shared" si="2"/>
        <v>1.6841317365269461</v>
      </c>
      <c r="H10" s="133">
        <f t="shared" si="3"/>
        <v>505.23952095808386</v>
      </c>
    </row>
    <row r="11" spans="1:8" x14ac:dyDescent="0.25">
      <c r="A11" s="139" t="s">
        <v>62</v>
      </c>
      <c r="B11" s="100">
        <v>1000</v>
      </c>
      <c r="C11" s="140">
        <v>0.15</v>
      </c>
      <c r="D11" s="140">
        <v>0.25</v>
      </c>
      <c r="E11" s="141">
        <f t="shared" si="0"/>
        <v>250</v>
      </c>
      <c r="F11" s="142">
        <f t="shared" si="1"/>
        <v>4.4910179640718563E-2</v>
      </c>
      <c r="G11" s="142">
        <f t="shared" si="2"/>
        <v>5.0523952095808386E-2</v>
      </c>
      <c r="H11" s="143">
        <f t="shared" si="3"/>
        <v>50.523952095808383</v>
      </c>
    </row>
    <row r="12" spans="1:8" x14ac:dyDescent="0.25">
      <c r="A12" s="134" t="s">
        <v>63</v>
      </c>
      <c r="B12" s="94">
        <v>1000</v>
      </c>
      <c r="C12" s="135">
        <v>0.15</v>
      </c>
      <c r="D12" s="135">
        <v>0.25</v>
      </c>
      <c r="E12" s="131">
        <f t="shared" si="0"/>
        <v>250</v>
      </c>
      <c r="F12" s="132">
        <f t="shared" si="1"/>
        <v>4.4910179640718563E-2</v>
      </c>
      <c r="G12" s="132">
        <f t="shared" si="2"/>
        <v>5.0523952095808386E-2</v>
      </c>
      <c r="H12" s="133">
        <f t="shared" si="3"/>
        <v>50.523952095808383</v>
      </c>
    </row>
    <row r="13" spans="1:8" x14ac:dyDescent="0.25">
      <c r="A13" s="139" t="s">
        <v>189</v>
      </c>
      <c r="B13" s="100">
        <v>200</v>
      </c>
      <c r="C13" s="140">
        <v>3</v>
      </c>
      <c r="D13" s="140">
        <v>3.5</v>
      </c>
      <c r="E13" s="141">
        <f t="shared" si="0"/>
        <v>700</v>
      </c>
      <c r="F13" s="142">
        <f t="shared" si="1"/>
        <v>0.89820359281437134</v>
      </c>
      <c r="G13" s="142">
        <f t="shared" si="2"/>
        <v>1.0104790419161678</v>
      </c>
      <c r="H13" s="143">
        <f t="shared" si="3"/>
        <v>202.09580838323356</v>
      </c>
    </row>
    <row r="14" spans="1:8" x14ac:dyDescent="0.25">
      <c r="A14" s="134" t="s">
        <v>190</v>
      </c>
      <c r="B14" s="94">
        <v>500</v>
      </c>
      <c r="C14" s="135">
        <v>0.25</v>
      </c>
      <c r="D14" s="135">
        <v>0.3</v>
      </c>
      <c r="E14" s="131">
        <f t="shared" si="0"/>
        <v>150</v>
      </c>
      <c r="F14" s="132">
        <f t="shared" si="1"/>
        <v>7.4850299401197612E-2</v>
      </c>
      <c r="G14" s="132">
        <f t="shared" si="2"/>
        <v>8.420658682634731E-2</v>
      </c>
      <c r="H14" s="133">
        <f t="shared" si="3"/>
        <v>42.103293413173652</v>
      </c>
    </row>
    <row r="15" spans="1:8" x14ac:dyDescent="0.25">
      <c r="A15" s="139" t="s">
        <v>191</v>
      </c>
      <c r="B15" s="100">
        <v>500</v>
      </c>
      <c r="C15" s="140">
        <v>0.35</v>
      </c>
      <c r="D15" s="140">
        <v>0.4</v>
      </c>
      <c r="E15" s="141">
        <f t="shared" si="0"/>
        <v>200</v>
      </c>
      <c r="F15" s="142">
        <f t="shared" si="1"/>
        <v>0.10479041916167664</v>
      </c>
      <c r="G15" s="142">
        <f t="shared" si="2"/>
        <v>0.11788922155688622</v>
      </c>
      <c r="H15" s="143">
        <f t="shared" si="3"/>
        <v>58.944610778443113</v>
      </c>
    </row>
    <row r="16" spans="1:8" x14ac:dyDescent="0.25">
      <c r="A16" s="134" t="s">
        <v>192</v>
      </c>
      <c r="B16" s="94">
        <v>50</v>
      </c>
      <c r="C16" s="135">
        <v>6</v>
      </c>
      <c r="D16" s="135">
        <v>6.5</v>
      </c>
      <c r="E16" s="131">
        <f t="shared" si="0"/>
        <v>325</v>
      </c>
      <c r="F16" s="132">
        <f t="shared" si="1"/>
        <v>1.7964071856287427</v>
      </c>
      <c r="G16" s="132">
        <f t="shared" si="2"/>
        <v>2.0209580838323356</v>
      </c>
      <c r="H16" s="133">
        <f t="shared" si="3"/>
        <v>101.04790419161678</v>
      </c>
    </row>
    <row r="17" spans="1:8" x14ac:dyDescent="0.25">
      <c r="A17" s="139" t="s">
        <v>193</v>
      </c>
      <c r="B17" s="100">
        <v>100</v>
      </c>
      <c r="C17" s="140">
        <v>3.14</v>
      </c>
      <c r="D17" s="140">
        <v>4</v>
      </c>
      <c r="E17" s="141">
        <f t="shared" si="0"/>
        <v>400</v>
      </c>
      <c r="F17" s="142">
        <f t="shared" si="1"/>
        <v>0.940119760479042</v>
      </c>
      <c r="G17" s="142">
        <f t="shared" si="2"/>
        <v>1.0576347305389222</v>
      </c>
      <c r="H17" s="143">
        <f t="shared" si="3"/>
        <v>105.76347305389223</v>
      </c>
    </row>
    <row r="18" spans="1:8" ht="15.75" thickBot="1" x14ac:dyDescent="0.3">
      <c r="A18" s="136" t="s">
        <v>194</v>
      </c>
      <c r="B18" s="137">
        <v>100</v>
      </c>
      <c r="C18" s="138">
        <v>5.68</v>
      </c>
      <c r="D18" s="138">
        <v>6</v>
      </c>
      <c r="E18" s="131">
        <f t="shared" si="0"/>
        <v>600</v>
      </c>
      <c r="F18" s="132">
        <f t="shared" si="1"/>
        <v>1.7005988023952097</v>
      </c>
      <c r="G18" s="132">
        <f t="shared" si="2"/>
        <v>1.9131736526946108</v>
      </c>
      <c r="H18" s="133">
        <f t="shared" si="3"/>
        <v>191.31736526946108</v>
      </c>
    </row>
    <row r="19" spans="1:8" ht="15.75" thickBot="1" x14ac:dyDescent="0.3">
      <c r="A19" s="128" t="s">
        <v>16</v>
      </c>
      <c r="B19" s="144">
        <f>SUM(B8:B18)</f>
        <v>4450</v>
      </c>
      <c r="C19" s="145">
        <f t="shared" ref="C19:H19" si="4">SUM(C8:C18)</f>
        <v>26.79</v>
      </c>
      <c r="D19" s="145">
        <f t="shared" si="4"/>
        <v>29.950000000000003</v>
      </c>
      <c r="E19" s="145">
        <f t="shared" si="4"/>
        <v>5340</v>
      </c>
      <c r="F19" s="146">
        <f t="shared" si="4"/>
        <v>8.0209580838323351</v>
      </c>
      <c r="G19" s="146">
        <f t="shared" si="4"/>
        <v>9.0235778443113794</v>
      </c>
      <c r="H19" s="146">
        <f t="shared" si="4"/>
        <v>1564.8952095808384</v>
      </c>
    </row>
  </sheetData>
  <mergeCells count="4">
    <mergeCell ref="D1:F3"/>
    <mergeCell ref="A1:B1"/>
    <mergeCell ref="C6:E6"/>
    <mergeCell ref="F6:H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2026-03-11T19:01:16Z</dcterms:created>
  <dcterms:modified xsi:type="dcterms:W3CDTF">2026-03-15T21:38:23Z</dcterms:modified>
</cp:coreProperties>
</file>