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Atalhos\Pratica-excel\"/>
    </mc:Choice>
  </mc:AlternateContent>
  <xr:revisionPtr revIDLastSave="0" documentId="13_ncr:1_{1A94D360-6650-4326-AE8B-DFA65036FA63}" xr6:coauthVersionLast="47" xr6:coauthVersionMax="47" xr10:uidLastSave="{00000000-0000-0000-0000-000000000000}"/>
  <bookViews>
    <workbookView xWindow="-120" yWindow="-120" windowWidth="24240" windowHeight="13140" activeTab="4" xr2:uid="{D10230E5-212B-4E28-BB2F-F41A2A600DF6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5" l="1"/>
  <c r="B22" i="5"/>
  <c r="B23" i="5"/>
  <c r="B21" i="5"/>
  <c r="E2" i="5"/>
  <c r="E3" i="5"/>
  <c r="E4" i="5"/>
  <c r="B26" i="5" s="1"/>
  <c r="E5" i="5"/>
  <c r="E6" i="5"/>
  <c r="E7" i="5"/>
  <c r="B17" i="5" s="1"/>
  <c r="E8" i="5"/>
  <c r="E9" i="5"/>
  <c r="B29" i="5" s="1"/>
  <c r="E10" i="5"/>
  <c r="B16" i="5" s="1"/>
  <c r="E11" i="5"/>
  <c r="B28" i="5" s="1"/>
  <c r="E2" i="4"/>
  <c r="E3" i="4"/>
  <c r="E4" i="4"/>
  <c r="E5" i="4"/>
  <c r="E6" i="4"/>
  <c r="E7" i="4"/>
  <c r="D2" i="4"/>
  <c r="D3" i="4"/>
  <c r="D4" i="4"/>
  <c r="D5" i="4"/>
  <c r="D6" i="4"/>
  <c r="D7" i="4"/>
  <c r="H6" i="3"/>
  <c r="H5" i="3"/>
  <c r="H4" i="3"/>
  <c r="F3" i="2"/>
  <c r="F4" i="2"/>
  <c r="F5" i="2"/>
  <c r="F6" i="2"/>
  <c r="F2" i="2"/>
  <c r="E3" i="2"/>
  <c r="E4" i="2"/>
  <c r="E5" i="2"/>
  <c r="E6" i="2"/>
  <c r="E2" i="2"/>
  <c r="I3" i="1"/>
  <c r="I4" i="1"/>
  <c r="I5" i="1"/>
  <c r="G2" i="1"/>
  <c r="G3" i="1"/>
  <c r="G4" i="1"/>
  <c r="G5" i="1"/>
  <c r="E2" i="1"/>
  <c r="I2" i="1" s="1"/>
  <c r="E3" i="1"/>
  <c r="E4" i="1"/>
  <c r="E5" i="1"/>
  <c r="B14" i="5" l="1"/>
  <c r="B15" i="5"/>
  <c r="B27" i="5"/>
</calcChain>
</file>

<file path=xl/sharedStrings.xml><?xml version="1.0" encoding="utf-8"?>
<sst xmlns="http://schemas.openxmlformats.org/spreadsheetml/2006/main" count="101" uniqueCount="58">
  <si>
    <t>Vendedor</t>
  </si>
  <si>
    <t>Produto</t>
  </si>
  <si>
    <t>Qtde</t>
  </si>
  <si>
    <t>Preço Unit.</t>
  </si>
  <si>
    <t>Total Venda</t>
  </si>
  <si>
    <t>% Comissao</t>
  </si>
  <si>
    <t>R$ Comissao</t>
  </si>
  <si>
    <t>Meta</t>
  </si>
  <si>
    <t>Resultado</t>
  </si>
  <si>
    <t>Ana</t>
  </si>
  <si>
    <t>Bruno</t>
  </si>
  <si>
    <t>Carla</t>
  </si>
  <si>
    <t>Diego</t>
  </si>
  <si>
    <t>Mouse</t>
  </si>
  <si>
    <t>Teclado</t>
  </si>
  <si>
    <t>Headset</t>
  </si>
  <si>
    <t>Webcam</t>
  </si>
  <si>
    <t>Aluno</t>
  </si>
  <si>
    <t>Nota 1</t>
  </si>
  <si>
    <t>Nota 2</t>
  </si>
  <si>
    <t>Faltas</t>
  </si>
  <si>
    <t>Media</t>
  </si>
  <si>
    <t>Julia</t>
  </si>
  <si>
    <t>Marcos</t>
  </si>
  <si>
    <t>Paula</t>
  </si>
  <si>
    <t>Rafaela</t>
  </si>
  <si>
    <t>Tiago</t>
  </si>
  <si>
    <t>Codigo</t>
  </si>
  <si>
    <t>Categoria</t>
  </si>
  <si>
    <t>Preco</t>
  </si>
  <si>
    <t>Caderno</t>
  </si>
  <si>
    <t>Caneta Azul</t>
  </si>
  <si>
    <t>Mouse USB</t>
  </si>
  <si>
    <t>Mochila</t>
  </si>
  <si>
    <t>Papelaria</t>
  </si>
  <si>
    <t>Informática</t>
  </si>
  <si>
    <t>Acessórios</t>
  </si>
  <si>
    <t>Area de Consulta</t>
  </si>
  <si>
    <t>Preco:</t>
  </si>
  <si>
    <t>Categoria:</t>
  </si>
  <si>
    <t>Produto:</t>
  </si>
  <si>
    <t>Digite o Codigo:</t>
  </si>
  <si>
    <t>Mês</t>
  </si>
  <si>
    <t>Vendas</t>
  </si>
  <si>
    <t>Diferenca</t>
  </si>
  <si>
    <t>Janeiro</t>
  </si>
  <si>
    <t>Fevereiro</t>
  </si>
  <si>
    <t>Março</t>
  </si>
  <si>
    <t>Abril</t>
  </si>
  <si>
    <t>Maio</t>
  </si>
  <si>
    <t>Junho</t>
  </si>
  <si>
    <t>Situacao</t>
  </si>
  <si>
    <t>Quantidade</t>
  </si>
  <si>
    <t>Preço</t>
  </si>
  <si>
    <t>Monitor</t>
  </si>
  <si>
    <t>Total Produto</t>
  </si>
  <si>
    <t>Total Vendas</t>
  </si>
  <si>
    <t>Total em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</si>
</sst>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4" fontId="0" fillId="0" borderId="1" xfId="1" applyFont="1" applyBorder="1"/>
    <xf numFmtId="44" fontId="0" fillId="0" borderId="16" xfId="1" applyFont="1" applyBorder="1"/>
    <xf numFmtId="9" fontId="0" fillId="0" borderId="1" xfId="0" applyNumberFormat="1" applyBorder="1"/>
    <xf numFmtId="9" fontId="0" fillId="0" borderId="16" xfId="0" applyNumberFormat="1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44" fontId="0" fillId="0" borderId="11" xfId="1" applyFont="1" applyBorder="1"/>
    <xf numFmtId="44" fontId="0" fillId="0" borderId="17" xfId="1" applyFont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44" fontId="0" fillId="4" borderId="9" xfId="1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7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7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6AA343"/>
        </patternFill>
      </fill>
    </dxf>
    <dxf>
      <fill>
        <patternFill>
          <bgColor rgb="FFFF535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color auto="1"/>
      </font>
      <fill>
        <patternFill>
          <bgColor rgb="FFFF6565"/>
        </patternFill>
      </fill>
    </dxf>
    <dxf>
      <font>
        <color auto="1"/>
      </font>
      <fill>
        <patternFill>
          <bgColor rgb="FF7AB850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fill>
        <patternFill>
          <bgColor rgb="FF68A042"/>
        </patternFill>
      </fill>
    </dxf>
    <dxf>
      <font>
        <color auto="1"/>
      </font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FF5353"/>
      <color rgb="FF6AA343"/>
      <color rgb="FF7AB850"/>
      <color rgb="FFFF6565"/>
      <color rgb="FFFF6969"/>
      <color rgb="FFD60000"/>
      <color rgb="FF68A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Mensais vs Metas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5239848793088276"/>
          <c:w val="0.68317847769028872"/>
          <c:h val="0.71530258206119712"/>
        </c:manualLayout>
      </c:layout>
      <c:barChart>
        <c:barDir val="col"/>
        <c:grouping val="clustered"/>
        <c:varyColors val="0"/>
        <c:ser>
          <c:idx val="0"/>
          <c:order val="0"/>
          <c:tx>
            <c:v>Vendas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Planilha4!$A$2:$A$7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Planilha4!$B$2:$B$7</c:f>
              <c:numCache>
                <c:formatCode>General</c:formatCode>
                <c:ptCount val="6"/>
                <c:pt idx="0">
                  <c:v>1250</c:v>
                </c:pt>
                <c:pt idx="1">
                  <c:v>980</c:v>
                </c:pt>
                <c:pt idx="2">
                  <c:v>1430</c:v>
                </c:pt>
                <c:pt idx="3">
                  <c:v>1110</c:v>
                </c:pt>
                <c:pt idx="4">
                  <c:v>890</c:v>
                </c:pt>
                <c:pt idx="5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6-4316-8029-D4E92E09885B}"/>
            </c:ext>
          </c:extLst>
        </c:ser>
        <c:ser>
          <c:idx val="1"/>
          <c:order val="1"/>
          <c:tx>
            <c:v>Meta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Planilha4!$A$2:$A$7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Planilha4!$C$2:$C$7</c:f>
              <c:numCache>
                <c:formatCode>General</c:formatCode>
                <c:ptCount val="6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86-4316-8029-D4E92E098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067759"/>
        <c:axId val="1365069007"/>
      </c:barChart>
      <c:catAx>
        <c:axId val="1365067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069007"/>
        <c:crosses val="autoZero"/>
        <c:auto val="1"/>
        <c:lblAlgn val="ctr"/>
        <c:lblOffset val="100"/>
        <c:noMultiLvlLbl val="0"/>
      </c:catAx>
      <c:valAx>
        <c:axId val="136506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Vendas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06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2895888013992"/>
          <c:y val="0.42262907717712594"/>
          <c:w val="0.11878215223097113"/>
          <c:h val="0.13867578774090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Totais </a:t>
            </a:r>
            <a:r>
              <a:rPr lang="pt-BR" baseline="0"/>
              <a:t>por Vendedor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Planilha5!$B$13</c:f>
              <c:strCache>
                <c:ptCount val="1"/>
                <c:pt idx="0">
                  <c:v>Total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Planilha5!$A$14:$A$17</c:f>
              <c:strCache>
                <c:ptCount val="4"/>
                <c:pt idx="0">
                  <c:v>Carla</c:v>
                </c:pt>
                <c:pt idx="1">
                  <c:v>Ana</c:v>
                </c:pt>
                <c:pt idx="2">
                  <c:v>Diego</c:v>
                </c:pt>
                <c:pt idx="3">
                  <c:v>Bruno</c:v>
                </c:pt>
              </c:strCache>
            </c:strRef>
          </c:cat>
          <c:val>
            <c:numRef>
              <c:f>Planilha5!$B$14:$B$17</c:f>
              <c:numCache>
                <c:formatCode>_("R$"* #,##0.00_);_("R$"* \(#,##0.00\);_("R$"* "-"??_);_(@_)</c:formatCode>
                <c:ptCount val="4"/>
                <c:pt idx="0">
                  <c:v>3410</c:v>
                </c:pt>
                <c:pt idx="1">
                  <c:v>1850</c:v>
                </c:pt>
                <c:pt idx="2">
                  <c:v>1080</c:v>
                </c:pt>
                <c:pt idx="3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8-44F7-A5E2-7EEE3ED0D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5359263"/>
        <c:axId val="1615359679"/>
      </c:barChart>
      <c:catAx>
        <c:axId val="16153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359679"/>
        <c:crosses val="autoZero"/>
        <c:auto val="1"/>
        <c:lblAlgn val="ctr"/>
        <c:lblOffset val="100"/>
        <c:noMultiLvlLbl val="0"/>
      </c:catAx>
      <c:valAx>
        <c:axId val="16153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35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Vendida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Planilha5!$A$20:$A$23</c:f>
              <c:strCache>
                <c:ptCount val="4"/>
                <c:pt idx="0">
                  <c:v>Mouse</c:v>
                </c:pt>
                <c:pt idx="1">
                  <c:v>Headset</c:v>
                </c:pt>
                <c:pt idx="2">
                  <c:v>Teclado</c:v>
                </c:pt>
                <c:pt idx="3">
                  <c:v>Monitor</c:v>
                </c:pt>
              </c:strCache>
            </c:strRef>
          </c:cat>
          <c:val>
            <c:numRef>
              <c:f>Planilha5!$B$20:$B$23</c:f>
              <c:numCache>
                <c:formatCode>General</c:formatCode>
                <c:ptCount val="4"/>
                <c:pt idx="0">
                  <c:v>20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A-401F-A8CF-0C4152A67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959215"/>
        <c:axId val="1654956303"/>
      </c:barChart>
      <c:catAx>
        <c:axId val="165495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956303"/>
        <c:crosses val="autoZero"/>
        <c:auto val="1"/>
        <c:lblAlgn val="ctr"/>
        <c:lblOffset val="100"/>
        <c:noMultiLvlLbl val="0"/>
      </c:catAx>
      <c:valAx>
        <c:axId val="165495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95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</a:t>
            </a:r>
            <a:r>
              <a:rPr lang="en-US" baseline="0"/>
              <a:t> Totais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Planilha5!$A$26:$A$29</c:f>
              <c:strCache>
                <c:ptCount val="4"/>
                <c:pt idx="0">
                  <c:v>Monitor</c:v>
                </c:pt>
                <c:pt idx="1">
                  <c:v>Mouse</c:v>
                </c:pt>
                <c:pt idx="2">
                  <c:v>Headset</c:v>
                </c:pt>
                <c:pt idx="3">
                  <c:v>Teclado</c:v>
                </c:pt>
              </c:strCache>
            </c:strRef>
          </c:cat>
          <c:val>
            <c:numRef>
              <c:f>Planilha5!$B$26:$B$29</c:f>
              <c:numCache>
                <c:formatCode>_("R$"* #,##0.00_);_("R$"* \(#,##0.00\);_("R$"* "-"??_);_(@_)</c:formatCode>
                <c:ptCount val="4"/>
                <c:pt idx="0">
                  <c:v>3600</c:v>
                </c:pt>
                <c:pt idx="1">
                  <c:v>1600</c:v>
                </c:pt>
                <c:pt idx="2">
                  <c:v>1050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F-4098-95F7-B30AE26C30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9029087"/>
        <c:axId val="1199029503"/>
      </c:barChart>
      <c:catAx>
        <c:axId val="11990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029503"/>
        <c:crosses val="autoZero"/>
        <c:auto val="1"/>
        <c:lblAlgn val="ctr"/>
        <c:lblOffset val="100"/>
        <c:noMultiLvlLbl val="0"/>
      </c:catAx>
      <c:valAx>
        <c:axId val="11990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902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2</xdr:row>
      <xdr:rowOff>42861</xdr:rowOff>
    </xdr:from>
    <xdr:to>
      <xdr:col>16</xdr:col>
      <xdr:colOff>47625</xdr:colOff>
      <xdr:row>18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331015-D7D4-4A24-AAB2-729467CE2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500062</xdr:colOff>
      <xdr:row>0</xdr:row>
      <xdr:rowOff>9525</xdr:rowOff>
    </xdr:from>
    <xdr:to>
      <xdr:col>15</xdr:col>
      <xdr:colOff>195262</xdr:colOff>
      <xdr:row>14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E9DF57-A5DA-4A8A-A629-7D1E09CBE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500062</xdr:colOff>
      <xdr:row>15</xdr:row>
      <xdr:rowOff>9525</xdr:rowOff>
    </xdr:from>
    <xdr:to>
      <xdr:col>15</xdr:col>
      <xdr:colOff>195262</xdr:colOff>
      <xdr:row>28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C27611A-C7A5-4BDB-ACEE-EF82ED654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204787</xdr:colOff>
      <xdr:row>12</xdr:row>
      <xdr:rowOff>14287</xdr:rowOff>
    </xdr:from>
    <xdr:to>
      <xdr:col>7</xdr:col>
      <xdr:colOff>347662</xdr:colOff>
      <xdr:row>26</xdr:row>
      <xdr:rowOff>90487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54638A4-2819-4308-99D9-37BAC4F61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DBDFE-78D1-4D7F-AE5E-665269967AD6}" name="Tabela1" displayName="Tabela1" ref="A1:I5" totalsRowShown="0" headerRowDxfId="67" headerRowBorderDxfId="66" tableBorderDxfId="65" totalsRowBorderDxfId="64">
  <autoFilter ref="A1:I5" xr:uid="{67BDBDFE-78D1-4D7F-AE5E-665269967AD6}"/>
  <tableColumns count="9">
    <tableColumn id="1" xr3:uid="{86E3CE0A-ED51-4DE8-AF20-B1580CBCD904}" name="Vendedor" dataDxfId="63"/>
    <tableColumn id="2" xr3:uid="{514C03F2-2F10-4E1B-917A-F806F88E76AB}" name="Produto" dataDxfId="62"/>
    <tableColumn id="3" xr3:uid="{812ED79F-8C80-4A48-9708-0FC695842ACA}" name="Qtde" dataDxfId="61"/>
    <tableColumn id="4" xr3:uid="{433CD3DD-984E-4C93-87D2-E7E7BC325EB5}" name="Preço Unit." dataDxfId="60" dataCellStyle="Moeda"/>
    <tableColumn id="5" xr3:uid="{6A0432D0-65F6-4FD1-9AAE-76B58F91A306}" name="Total Venda" dataDxfId="59" dataCellStyle="Moeda">
      <calculatedColumnFormula>PRODUCT(Tabela1[[#This Row],[Preço Unit.]],Tabela1[[#This Row],[Qtde]])</calculatedColumnFormula>
    </tableColumn>
    <tableColumn id="6" xr3:uid="{5B090A92-C374-4E6C-A0FE-0F2A6379EE3F}" name="% Comissao" dataDxfId="58"/>
    <tableColumn id="7" xr3:uid="{329B5967-A039-45C2-9D97-4ADB614740F4}" name="R$ Comissao" dataDxfId="57" dataCellStyle="Moeda">
      <calculatedColumnFormula>PRODUCT(Tabela1[[#This Row],[Total Venda]],Tabela1[[#This Row],[% Comissao]])</calculatedColumnFormula>
    </tableColumn>
    <tableColumn id="8" xr3:uid="{C6B74F46-429A-40D0-A0C3-97C361D2CC33}" name="Meta" dataDxfId="56" dataCellStyle="Moeda"/>
    <tableColumn id="9" xr3:uid="{D6B8A6E5-9AD4-4B41-98FD-67AA5FE45CC7}" name="Resultado" dataDxfId="55">
      <calculatedColumnFormula>IF(Tabela1[[#This Row],[Total Venda]] &gt;= Tabela1[[#This Row],[Meta]], "Atingiu", "Não atingiu")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0752E-7081-4BBE-A293-2C0534E4BBEF}" name="Tabela2" displayName="Tabela2" ref="A1:F6" totalsRowShown="0" headerRowDxfId="52">
  <autoFilter ref="A1:F6" xr:uid="{2A80752E-7081-4BBE-A293-2C0534E4BBEF}"/>
  <tableColumns count="6">
    <tableColumn id="1" xr3:uid="{65577A39-C969-4FA4-A327-815624318F46}" name="Aluno" dataDxfId="51"/>
    <tableColumn id="2" xr3:uid="{926C9363-0564-4F5F-9705-5909B37A5ED8}" name="Nota 1" dataDxfId="50"/>
    <tableColumn id="3" xr3:uid="{C59B6B23-2320-46BE-808C-8588AD1142AE}" name="Nota 2" dataDxfId="49"/>
    <tableColumn id="4" xr3:uid="{0E008066-60C7-4AB3-85BD-EA19D475A3A8}" name="Faltas" dataDxfId="48"/>
    <tableColumn id="5" xr3:uid="{F559AC2A-C378-4802-9AA5-ECE010158B85}" name="Media" dataDxfId="47">
      <calculatedColumnFormula>AVERAGE(B2,C2)</calculatedColumnFormula>
    </tableColumn>
    <tableColumn id="6" xr3:uid="{C854124F-4354-478B-B878-B44BB4C76E12}" name="Resultado" dataDxfId="46">
      <calculatedColumnFormula>IF(AND(E2 &gt;= 7, D2 &lt;= 5), "Aprovado", "Reprovado")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F7C66A-D7D1-47BA-A336-13D055452FBA}" name="Tabela3" displayName="Tabela3" ref="A1:D6" totalsRowShown="0" headerRowDxfId="45" headerRowBorderDxfId="44" tableBorderDxfId="43" totalsRowBorderDxfId="42">
  <autoFilter ref="A1:D6" xr:uid="{F4F7C66A-D7D1-47BA-A336-13D055452FBA}"/>
  <tableColumns count="4">
    <tableColumn id="1" xr3:uid="{6DE78052-CDE5-4CAB-BD4A-77B6B1CB41DE}" name="Codigo" dataDxfId="41"/>
    <tableColumn id="2" xr3:uid="{63319B48-FFDF-4A8C-8AB8-80D3888273CF}" name="Produto" dataDxfId="40"/>
    <tableColumn id="3" xr3:uid="{FAB490FD-2B6F-493A-A224-450E54130B54}" name="Categoria" dataDxfId="39"/>
    <tableColumn id="4" xr3:uid="{7FF1F745-6FA3-42F1-82AA-88CDFBC2E2D1}" name="Preco" dataDxfId="38" dataCellStyle="Moed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24628A-5F44-44FC-B9DB-C13E8D41FFD7}" name="Tabela4" displayName="Tabela4" ref="A1:E7" totalsRowShown="0" headerRowDxfId="35" headerRowBorderDxfId="34" tableBorderDxfId="33" totalsRowBorderDxfId="32">
  <autoFilter ref="A1:E7" xr:uid="{7324628A-5F44-44FC-B9DB-C13E8D41FFD7}"/>
  <tableColumns count="5">
    <tableColumn id="1" xr3:uid="{C710CBF9-E532-4B7D-9D0F-AC1DE39F554E}" name="Mês" dataDxfId="31"/>
    <tableColumn id="2" xr3:uid="{F1F4019F-16D0-48EE-B0CE-BF05F6879AAA}" name="Vendas" dataDxfId="30"/>
    <tableColumn id="3" xr3:uid="{C689F4BA-A49D-480E-99B4-B48CBFC83D61}" name="Meta" dataDxfId="29"/>
    <tableColumn id="4" xr3:uid="{1820B720-E31F-46D3-BBCB-99662E61EDEB}" name="Diferenca" dataDxfId="28">
      <calculatedColumnFormula>Tabela4[[#This Row],[Vendas]]-Tabela4[[#This Row],[Meta]]</calculatedColumnFormula>
    </tableColumn>
    <tableColumn id="5" xr3:uid="{F5355F1D-12F7-4945-A63D-86BAA01537C1}" name="Situacao" dataDxfId="27">
      <calculatedColumnFormula>IF(B2 &gt;= C2, "Acima","Abaixo")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8B4012-5A4F-4191-849E-17B95331A8A9}" name="Tabela5" displayName="Tabela5" ref="A1:E11" totalsRowShown="0" headerRowDxfId="26" headerRowBorderDxfId="25" tableBorderDxfId="24" totalsRowBorderDxfId="23">
  <autoFilter ref="A1:E11" xr:uid="{3F8B4012-5A4F-4191-849E-17B95331A8A9}"/>
  <tableColumns count="5">
    <tableColumn id="1" xr3:uid="{3FED03B7-D68D-4CEB-91AC-24ADC89FE477}" name="Vendedor" dataDxfId="22"/>
    <tableColumn id="2" xr3:uid="{C709173D-52BE-4B38-A40C-D6A05C4B1A16}" name="Produto" dataDxfId="21"/>
    <tableColumn id="3" xr3:uid="{FE12FB84-D3BE-42DA-A67A-3028AA506C0F}" name="Quantidade" dataDxfId="20"/>
    <tableColumn id="4" xr3:uid="{C0A0A715-3ED7-4163-98CF-AB9D8B0625FB}" name="Preço" dataDxfId="19" dataCellStyle="Moeda"/>
    <tableColumn id="5" xr3:uid="{4BFEAA8A-EFB5-471A-82C4-D5282A8B8542}" name="Total Produto" dataDxfId="18" dataCellStyle="Moeda">
      <calculatedColumnFormula>PRODUCT(Tabela5[[#This Row],[Preço]],Tabela5[[#This Row],[Quantidade]])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B34823-E7F8-4A9D-9D09-C9203E45857A}" name="Tabela6" displayName="Tabela6" ref="A13:B17" totalsRowShown="0" headerRowDxfId="17" headerRowBorderDxfId="16" tableBorderDxfId="15" totalsRowBorderDxfId="14">
  <autoFilter ref="A13:B17" xr:uid="{03B34823-E7F8-4A9D-9D09-C9203E45857A}"/>
  <sortState xmlns:xlrd2="http://schemas.microsoft.com/office/spreadsheetml/2017/richdata2" ref="A14:B17">
    <sortCondition descending="1" ref="B13:B17"/>
  </sortState>
  <tableColumns count="2">
    <tableColumn id="1" xr3:uid="{784E620B-984F-41D5-87F0-F0C812418BBC}" name="Vendedor" dataDxfId="13"/>
    <tableColumn id="2" xr3:uid="{6934FDB9-5D2A-4DB8-9EC4-AFF369FCB1DE}" name="Total Vendas" dataDxfId="12" dataCellStyle="Moeda">
      <calculatedColumnFormula>SUMIF(Tabela5[Vendedor],A14,Tabela5[Total Produto])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328713-2CBB-4A2E-AE77-1314BCD2500C}" name="Tabela7" displayName="Tabela7" ref="A19:B23" totalsRowShown="0" headerRowDxfId="11" headerRowBorderDxfId="10" tableBorderDxfId="9" totalsRowBorderDxfId="8">
  <autoFilter ref="A19:B23" xr:uid="{A9328713-2CBB-4A2E-AE77-1314BCD2500C}"/>
  <sortState xmlns:xlrd2="http://schemas.microsoft.com/office/spreadsheetml/2017/richdata2" ref="A20:B23">
    <sortCondition descending="1" ref="B19:B23"/>
  </sortState>
  <tableColumns count="2">
    <tableColumn id="1" xr3:uid="{390E86F0-902B-4C60-9374-33FD919B9C7A}" name="Produto" dataDxfId="7"/>
    <tableColumn id="2" xr3:uid="{35CB19FF-02BE-49B9-8C01-358579B03102}" name="Quantidade" dataDxfId="6">
      <calculatedColumnFormula>SUMIF(Tabela5[Produto],Tabela7[[#This Row],[Produto]],Tabela5[Quantidade])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43FBB9-7124-4710-A555-B660BDC07496}" name="Tabela8" displayName="Tabela8" ref="A25:B29" totalsRowShown="0" headerRowDxfId="5" headerRowBorderDxfId="4" tableBorderDxfId="3" totalsRowBorderDxfId="2">
  <autoFilter ref="A25:B29" xr:uid="{B043FBB9-7124-4710-A555-B660BDC07496}"/>
  <sortState xmlns:xlrd2="http://schemas.microsoft.com/office/spreadsheetml/2017/richdata2" ref="A26:B29">
    <sortCondition descending="1" ref="B25:B29"/>
  </sortState>
  <tableColumns count="2">
    <tableColumn id="1" xr3:uid="{35473A6A-CFD6-4A56-A826-D2518A92F239}" name="Produto" dataDxfId="1"/>
    <tableColumn id="2" xr3:uid="{17514E71-917A-484B-9D0B-7A65DC118404}" name="Total em R$" dataDxfId="0" dataCellStyle="Moeda">
      <calculatedColumnFormula>SUMIF(Tabela5[Produto],A26,Tabela5[Total Produto])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2944-01E3-479C-BB0F-06A1378D4775}">
  <dimension ref="A1:I5"/>
  <sheetViews>
    <sheetView workbookViewId="0">
      <selection activeCell="F10" sqref="F10"/>
    </sheetView>
  </sheetViews>
  <sheetFormatPr defaultRowHeight="15" x14ac:dyDescent="0.25"/>
  <cols>
    <col min="1" max="1" width="14.7109375" customWidth="1"/>
    <col min="2" max="2" width="13.7109375" customWidth="1"/>
    <col min="3" max="3" width="11.5703125" customWidth="1"/>
    <col min="4" max="4" width="16.28515625" customWidth="1"/>
    <col min="5" max="5" width="17.140625" customWidth="1"/>
    <col min="6" max="6" width="17.28515625" customWidth="1"/>
    <col min="7" max="7" width="18.140625" customWidth="1"/>
    <col min="8" max="8" width="12.5703125" customWidth="1"/>
    <col min="9" max="9" width="16" customWidth="1"/>
  </cols>
  <sheetData>
    <row r="1" spans="1:9" ht="19.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spans="1:9" x14ac:dyDescent="0.25">
      <c r="A2" s="7" t="s">
        <v>9</v>
      </c>
      <c r="B2" s="1" t="s">
        <v>13</v>
      </c>
      <c r="C2" s="1">
        <v>18</v>
      </c>
      <c r="D2" s="13">
        <v>24</v>
      </c>
      <c r="E2" s="13">
        <f>PRODUCT(Tabela1[[#This Row],[Preço Unit.]],Tabela1[[#This Row],[Qtde]])</f>
        <v>432</v>
      </c>
      <c r="F2" s="15">
        <v>0.05</v>
      </c>
      <c r="G2" s="13">
        <f>PRODUCT(Tabela1[[#This Row],[Total Venda]],Tabela1[[#This Row],[% Comissao]])</f>
        <v>21.6</v>
      </c>
      <c r="H2" s="13">
        <v>700</v>
      </c>
      <c r="I2" s="17" t="str">
        <f>IF(Tabela1[[#This Row],[Total Venda]] &gt;= Tabela1[[#This Row],[Meta]], "Atingiu", "Não atingiu")</f>
        <v>Não atingiu</v>
      </c>
    </row>
    <row r="3" spans="1:9" x14ac:dyDescent="0.25">
      <c r="A3" s="7" t="s">
        <v>10</v>
      </c>
      <c r="B3" s="1" t="s">
        <v>14</v>
      </c>
      <c r="C3" s="1">
        <v>12</v>
      </c>
      <c r="D3" s="13">
        <v>80</v>
      </c>
      <c r="E3" s="13">
        <f>PRODUCT(Tabela1[[#This Row],[Preço Unit.]],Tabela1[[#This Row],[Qtde]])</f>
        <v>960</v>
      </c>
      <c r="F3" s="15">
        <v>0.06</v>
      </c>
      <c r="G3" s="13">
        <f>PRODUCT(Tabela1[[#This Row],[Total Venda]],Tabela1[[#This Row],[% Comissao]])</f>
        <v>57.599999999999994</v>
      </c>
      <c r="H3" s="13">
        <v>700</v>
      </c>
      <c r="I3" s="17" t="str">
        <f>IF(Tabela1[[#This Row],[Total Venda]] &gt;= Tabela1[[#This Row],[Meta]], "Atingiu", "Não atingiu")</f>
        <v>Atingiu</v>
      </c>
    </row>
    <row r="4" spans="1:9" x14ac:dyDescent="0.25">
      <c r="A4" s="7" t="s">
        <v>11</v>
      </c>
      <c r="B4" s="1" t="s">
        <v>15</v>
      </c>
      <c r="C4" s="1">
        <v>9</v>
      </c>
      <c r="D4" s="13">
        <v>120</v>
      </c>
      <c r="E4" s="13">
        <f>PRODUCT(Tabela1[[#This Row],[Preço Unit.]],Tabela1[[#This Row],[Qtde]])</f>
        <v>1080</v>
      </c>
      <c r="F4" s="15">
        <v>7.0000000000000007E-2</v>
      </c>
      <c r="G4" s="13">
        <f>PRODUCT(Tabela1[[#This Row],[Total Venda]],Tabela1[[#This Row],[% Comissao]])</f>
        <v>75.600000000000009</v>
      </c>
      <c r="H4" s="13">
        <v>700</v>
      </c>
      <c r="I4" s="17" t="str">
        <f>IF(Tabela1[[#This Row],[Total Venda]] &gt;= Tabela1[[#This Row],[Meta]], "Atingiu", "Não atingiu")</f>
        <v>Atingiu</v>
      </c>
    </row>
    <row r="5" spans="1:9" x14ac:dyDescent="0.25">
      <c r="A5" s="8" t="s">
        <v>12</v>
      </c>
      <c r="B5" s="9" t="s">
        <v>16</v>
      </c>
      <c r="C5" s="9">
        <v>15</v>
      </c>
      <c r="D5" s="14">
        <v>90</v>
      </c>
      <c r="E5" s="14">
        <f>PRODUCT(Tabela1[[#This Row],[Preço Unit.]],Tabela1[[#This Row],[Qtde]])</f>
        <v>1350</v>
      </c>
      <c r="F5" s="16">
        <v>0.05</v>
      </c>
      <c r="G5" s="14">
        <f>PRODUCT(Tabela1[[#This Row],[Total Venda]],Tabela1[[#This Row],[% Comissao]])</f>
        <v>67.5</v>
      </c>
      <c r="H5" s="14">
        <v>700</v>
      </c>
      <c r="I5" s="18" t="str">
        <f>IF(Tabela1[[#This Row],[Total Venda]] &gt;= Tabela1[[#This Row],[Meta]], "Atingiu", "Não atingiu")</f>
        <v>Atingiu</v>
      </c>
    </row>
  </sheetData>
  <conditionalFormatting sqref="I2:I5">
    <cfRule type="containsText" dxfId="69" priority="1" operator="containsText" text="Não atingiu">
      <formula>NOT(ISERROR(SEARCH("Não atingiu",I2)))</formula>
    </cfRule>
    <cfRule type="containsText" dxfId="68" priority="2" operator="containsText" text="Atingiu">
      <formula>NOT(ISERROR(SEARCH("Atingiu",I2)))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909E-9E45-47A6-B324-C4D7401DCE84}">
  <dimension ref="A1:F6"/>
  <sheetViews>
    <sheetView workbookViewId="0">
      <selection activeCell="E13" sqref="E13"/>
    </sheetView>
  </sheetViews>
  <sheetFormatPr defaultRowHeight="15" x14ac:dyDescent="0.25"/>
  <cols>
    <col min="1" max="1" width="10.85546875" bestFit="1" customWidth="1"/>
    <col min="2" max="3" width="11.28515625" bestFit="1" customWidth="1"/>
    <col min="4" max="4" width="10.7109375" bestFit="1" customWidth="1"/>
    <col min="5" max="5" width="11.28515625" bestFit="1" customWidth="1"/>
    <col min="6" max="6" width="14.7109375" customWidth="1"/>
  </cols>
  <sheetData>
    <row r="1" spans="1:6" ht="15.75" thickBot="1" x14ac:dyDescent="0.3">
      <c r="A1" s="19" t="s">
        <v>17</v>
      </c>
      <c r="B1" s="19" t="s">
        <v>18</v>
      </c>
      <c r="C1" s="19" t="s">
        <v>19</v>
      </c>
      <c r="D1" s="19" t="s">
        <v>20</v>
      </c>
      <c r="E1" s="19" t="s">
        <v>21</v>
      </c>
      <c r="F1" s="19" t="s">
        <v>8</v>
      </c>
    </row>
    <row r="2" spans="1:6" x14ac:dyDescent="0.25">
      <c r="A2" s="2" t="s">
        <v>22</v>
      </c>
      <c r="B2" s="21">
        <v>8</v>
      </c>
      <c r="C2" s="21">
        <v>7.5</v>
      </c>
      <c r="D2" s="3">
        <v>2</v>
      </c>
      <c r="E2" s="21">
        <f>AVERAGE(B2,C2)</f>
        <v>7.75</v>
      </c>
      <c r="F2" s="22" t="str">
        <f>IF(AND(E2 &gt;= 7, D2 &lt;= 5), "Aprovado", "Reprovado")</f>
        <v>Aprovado</v>
      </c>
    </row>
    <row r="3" spans="1:6" x14ac:dyDescent="0.25">
      <c r="A3" s="4" t="s">
        <v>23</v>
      </c>
      <c r="B3" s="20">
        <v>5</v>
      </c>
      <c r="C3" s="20">
        <v>6</v>
      </c>
      <c r="D3" s="1">
        <v>1</v>
      </c>
      <c r="E3" s="20">
        <f t="shared" ref="E3:E6" si="0">AVERAGE(B3,C3)</f>
        <v>5.5</v>
      </c>
      <c r="F3" s="23" t="str">
        <f t="shared" ref="F3:F6" si="1">IF(AND(E3 &gt;= 7, D3 &lt;= 5), "Aprovado", "Reprovado")</f>
        <v>Reprovado</v>
      </c>
    </row>
    <row r="4" spans="1:6" x14ac:dyDescent="0.25">
      <c r="A4" s="4" t="s">
        <v>24</v>
      </c>
      <c r="B4" s="20">
        <v>9</v>
      </c>
      <c r="C4" s="20">
        <v>8.5</v>
      </c>
      <c r="D4" s="1">
        <v>0</v>
      </c>
      <c r="E4" s="20">
        <f t="shared" si="0"/>
        <v>8.75</v>
      </c>
      <c r="F4" s="23" t="str">
        <f t="shared" si="1"/>
        <v>Aprovado</v>
      </c>
    </row>
    <row r="5" spans="1:6" x14ac:dyDescent="0.25">
      <c r="A5" s="4" t="s">
        <v>25</v>
      </c>
      <c r="B5" s="20">
        <v>6</v>
      </c>
      <c r="C5" s="20">
        <v>4.5</v>
      </c>
      <c r="D5" s="1">
        <v>8</v>
      </c>
      <c r="E5" s="20">
        <f t="shared" si="0"/>
        <v>5.25</v>
      </c>
      <c r="F5" s="23" t="str">
        <f t="shared" si="1"/>
        <v>Reprovado</v>
      </c>
    </row>
    <row r="6" spans="1:6" ht="15.75" thickBot="1" x14ac:dyDescent="0.3">
      <c r="A6" s="5" t="s">
        <v>26</v>
      </c>
      <c r="B6" s="24">
        <v>7</v>
      </c>
      <c r="C6" s="24">
        <v>7</v>
      </c>
      <c r="D6" s="6">
        <v>5</v>
      </c>
      <c r="E6" s="24">
        <f t="shared" si="0"/>
        <v>7</v>
      </c>
      <c r="F6" s="25" t="str">
        <f t="shared" si="1"/>
        <v>Aprovado</v>
      </c>
    </row>
  </sheetData>
  <conditionalFormatting sqref="F2:F6">
    <cfRule type="containsText" dxfId="54" priority="1" operator="containsText" text="Aprovado">
      <formula>NOT(ISERROR(SEARCH("Aprovado",F2)))</formula>
    </cfRule>
    <cfRule type="containsText" dxfId="53" priority="2" operator="containsText" text="Reprovado">
      <formula>NOT(ISERROR(SEARCH("Reprovado",F2)))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8432-63F9-4EDA-81EB-5A06110D9681}">
  <dimension ref="A1:H6"/>
  <sheetViews>
    <sheetView workbookViewId="0">
      <selection activeCell="D20" sqref="D20"/>
    </sheetView>
  </sheetViews>
  <sheetFormatPr defaultRowHeight="15" x14ac:dyDescent="0.25"/>
  <cols>
    <col min="1" max="1" width="11.7109375" bestFit="1" customWidth="1"/>
    <col min="2" max="2" width="14.28515625" customWidth="1"/>
    <col min="3" max="3" width="14" bestFit="1" customWidth="1"/>
    <col min="4" max="4" width="13" customWidth="1"/>
    <col min="7" max="7" width="15.140625" bestFit="1" customWidth="1"/>
    <col min="8" max="8" width="13.42578125" customWidth="1"/>
  </cols>
  <sheetData>
    <row r="1" spans="1:8" ht="15.75" thickBot="1" x14ac:dyDescent="0.3">
      <c r="A1" s="26" t="s">
        <v>27</v>
      </c>
      <c r="B1" s="27" t="s">
        <v>1</v>
      </c>
      <c r="C1" s="27" t="s">
        <v>28</v>
      </c>
      <c r="D1" s="28" t="s">
        <v>29</v>
      </c>
    </row>
    <row r="2" spans="1:8" x14ac:dyDescent="0.25">
      <c r="A2" s="7">
        <v>101</v>
      </c>
      <c r="B2" s="1" t="s">
        <v>30</v>
      </c>
      <c r="C2" s="1" t="s">
        <v>34</v>
      </c>
      <c r="D2" s="29">
        <v>18</v>
      </c>
      <c r="G2" s="45" t="s">
        <v>37</v>
      </c>
      <c r="H2" s="46"/>
    </row>
    <row r="3" spans="1:8" x14ac:dyDescent="0.25">
      <c r="A3" s="7">
        <v>102</v>
      </c>
      <c r="B3" s="1" t="s">
        <v>31</v>
      </c>
      <c r="C3" s="1" t="s">
        <v>34</v>
      </c>
      <c r="D3" s="29">
        <v>3.5</v>
      </c>
      <c r="G3" s="31" t="s">
        <v>41</v>
      </c>
      <c r="H3" s="32">
        <v>104</v>
      </c>
    </row>
    <row r="4" spans="1:8" x14ac:dyDescent="0.25">
      <c r="A4" s="7">
        <v>103</v>
      </c>
      <c r="B4" s="1" t="s">
        <v>32</v>
      </c>
      <c r="C4" s="1" t="s">
        <v>35</v>
      </c>
      <c r="D4" s="29">
        <v>42</v>
      </c>
      <c r="G4" s="33" t="s">
        <v>40</v>
      </c>
      <c r="H4" s="34" t="str">
        <f>VLOOKUP($H$3, Tabela3[], 2,FALSE)</f>
        <v>Teclado</v>
      </c>
    </row>
    <row r="5" spans="1:8" x14ac:dyDescent="0.25">
      <c r="A5" s="7">
        <v>104</v>
      </c>
      <c r="B5" s="1" t="s">
        <v>14</v>
      </c>
      <c r="C5" s="1" t="s">
        <v>35</v>
      </c>
      <c r="D5" s="29">
        <v>75</v>
      </c>
      <c r="G5" s="31" t="s">
        <v>39</v>
      </c>
      <c r="H5" s="34" t="str">
        <f>VLOOKUP($H$3, Tabela3[], 3,FALSE)</f>
        <v>Informática</v>
      </c>
    </row>
    <row r="6" spans="1:8" ht="15.75" thickBot="1" x14ac:dyDescent="0.3">
      <c r="A6" s="8">
        <v>105</v>
      </c>
      <c r="B6" s="9" t="s">
        <v>33</v>
      </c>
      <c r="C6" s="9" t="s">
        <v>36</v>
      </c>
      <c r="D6" s="30">
        <v>89</v>
      </c>
      <c r="G6" s="35" t="s">
        <v>38</v>
      </c>
      <c r="H6" s="36">
        <f>VLOOKUP($H$3, Tabela3[], 4,FALSE)</f>
        <v>75</v>
      </c>
    </row>
  </sheetData>
  <mergeCells count="1">
    <mergeCell ref="G2:H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AB33-D01A-4E01-969B-01EE56EE1BDC}">
  <dimension ref="A1:E7"/>
  <sheetViews>
    <sheetView workbookViewId="0">
      <selection activeCell="F15" sqref="F15"/>
    </sheetView>
  </sheetViews>
  <sheetFormatPr defaultRowHeight="15" x14ac:dyDescent="0.25"/>
  <cols>
    <col min="2" max="2" width="9.7109375" customWidth="1"/>
    <col min="4" max="4" width="11.85546875" bestFit="1" customWidth="1"/>
    <col min="5" max="5" width="10.7109375" bestFit="1" customWidth="1"/>
  </cols>
  <sheetData>
    <row r="1" spans="1:5" x14ac:dyDescent="0.25">
      <c r="A1" s="37" t="s">
        <v>42</v>
      </c>
      <c r="B1" s="38" t="s">
        <v>43</v>
      </c>
      <c r="C1" s="38" t="s">
        <v>7</v>
      </c>
      <c r="D1" s="38" t="s">
        <v>44</v>
      </c>
      <c r="E1" s="39" t="s">
        <v>51</v>
      </c>
    </row>
    <row r="2" spans="1:5" x14ac:dyDescent="0.25">
      <c r="A2" s="7" t="s">
        <v>45</v>
      </c>
      <c r="B2" s="1">
        <v>1250</v>
      </c>
      <c r="C2" s="1">
        <v>1000</v>
      </c>
      <c r="D2" s="1">
        <f>Tabela4[[#This Row],[Vendas]]-Tabela4[[#This Row],[Meta]]</f>
        <v>250</v>
      </c>
      <c r="E2" s="40" t="str">
        <f t="shared" ref="E2:E7" si="0">IF(B2 &gt;= C2, "Acima","Abaixo")</f>
        <v>Acima</v>
      </c>
    </row>
    <row r="3" spans="1:5" x14ac:dyDescent="0.25">
      <c r="A3" s="7" t="s">
        <v>46</v>
      </c>
      <c r="B3" s="1">
        <v>980</v>
      </c>
      <c r="C3" s="1">
        <v>1000</v>
      </c>
      <c r="D3" s="1">
        <f>Tabela4[[#This Row],[Vendas]]-Tabela4[[#This Row],[Meta]]</f>
        <v>-20</v>
      </c>
      <c r="E3" s="40" t="str">
        <f t="shared" si="0"/>
        <v>Abaixo</v>
      </c>
    </row>
    <row r="4" spans="1:5" x14ac:dyDescent="0.25">
      <c r="A4" s="7" t="s">
        <v>47</v>
      </c>
      <c r="B4" s="1">
        <v>1430</v>
      </c>
      <c r="C4" s="1">
        <v>1000</v>
      </c>
      <c r="D4" s="1">
        <f>Tabela4[[#This Row],[Vendas]]-Tabela4[[#This Row],[Meta]]</f>
        <v>430</v>
      </c>
      <c r="E4" s="40" t="str">
        <f t="shared" si="0"/>
        <v>Acima</v>
      </c>
    </row>
    <row r="5" spans="1:5" x14ac:dyDescent="0.25">
      <c r="A5" s="7" t="s">
        <v>48</v>
      </c>
      <c r="B5" s="1">
        <v>1110</v>
      </c>
      <c r="C5" s="1">
        <v>1000</v>
      </c>
      <c r="D5" s="1">
        <f>Tabela4[[#This Row],[Vendas]]-Tabela4[[#This Row],[Meta]]</f>
        <v>110</v>
      </c>
      <c r="E5" s="40" t="str">
        <f t="shared" si="0"/>
        <v>Acima</v>
      </c>
    </row>
    <row r="6" spans="1:5" x14ac:dyDescent="0.25">
      <c r="A6" s="7" t="s">
        <v>49</v>
      </c>
      <c r="B6" s="1">
        <v>890</v>
      </c>
      <c r="C6" s="1">
        <v>1000</v>
      </c>
      <c r="D6" s="1">
        <f>Tabela4[[#This Row],[Vendas]]-Tabela4[[#This Row],[Meta]]</f>
        <v>-110</v>
      </c>
      <c r="E6" s="40" t="str">
        <f t="shared" si="0"/>
        <v>Abaixo</v>
      </c>
    </row>
    <row r="7" spans="1:5" x14ac:dyDescent="0.25">
      <c r="A7" s="8" t="s">
        <v>50</v>
      </c>
      <c r="B7" s="9">
        <v>1560</v>
      </c>
      <c r="C7" s="9">
        <v>1000</v>
      </c>
      <c r="D7" s="9">
        <f>Tabela4[[#This Row],[Vendas]]-Tabela4[[#This Row],[Meta]]</f>
        <v>560</v>
      </c>
      <c r="E7" s="41" t="str">
        <f t="shared" si="0"/>
        <v>Acima</v>
      </c>
    </row>
  </sheetData>
  <phoneticPr fontId="4" type="noConversion"/>
  <conditionalFormatting sqref="E2:E7">
    <cfRule type="containsText" dxfId="37" priority="1" operator="containsText" text="Abaixo">
      <formula>NOT(ISERROR(SEARCH("Abaixo",E2)))</formula>
    </cfRule>
    <cfRule type="containsText" dxfId="36" priority="2" operator="containsText" text="Acima">
      <formula>NOT(ISERROR(SEARCH("Acima",E2)))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4345-B752-4423-BA36-7D4CD3F973D5}">
  <dimension ref="A1:E29"/>
  <sheetViews>
    <sheetView tabSelected="1" workbookViewId="0">
      <selection activeCell="F9" sqref="F9"/>
    </sheetView>
  </sheetViews>
  <sheetFormatPr defaultRowHeight="15" x14ac:dyDescent="0.25"/>
  <cols>
    <col min="1" max="1" width="14.42578125" bestFit="1" customWidth="1"/>
    <col min="2" max="2" width="17" bestFit="1" customWidth="1"/>
    <col min="3" max="3" width="16" bestFit="1" customWidth="1"/>
    <col min="4" max="4" width="14.42578125" customWidth="1"/>
    <col min="5" max="5" width="17.7109375" bestFit="1" customWidth="1"/>
  </cols>
  <sheetData>
    <row r="1" spans="1:5" x14ac:dyDescent="0.25">
      <c r="A1" s="42" t="s">
        <v>0</v>
      </c>
      <c r="B1" s="43" t="s">
        <v>1</v>
      </c>
      <c r="C1" s="43" t="s">
        <v>52</v>
      </c>
      <c r="D1" s="43" t="s">
        <v>53</v>
      </c>
      <c r="E1" s="44" t="s">
        <v>55</v>
      </c>
    </row>
    <row r="2" spans="1:5" x14ac:dyDescent="0.25">
      <c r="A2" s="7" t="s">
        <v>9</v>
      </c>
      <c r="B2" s="1" t="s">
        <v>13</v>
      </c>
      <c r="C2" s="1">
        <v>5</v>
      </c>
      <c r="D2" s="13">
        <v>80</v>
      </c>
      <c r="E2" s="29">
        <f>PRODUCT(Tabela5[[#This Row],[Preço]],Tabela5[[#This Row],[Quantidade]])</f>
        <v>400</v>
      </c>
    </row>
    <row r="3" spans="1:5" x14ac:dyDescent="0.25">
      <c r="A3" s="7" t="s">
        <v>10</v>
      </c>
      <c r="B3" s="1" t="s">
        <v>14</v>
      </c>
      <c r="C3" s="1">
        <v>3</v>
      </c>
      <c r="D3" s="13">
        <v>250</v>
      </c>
      <c r="E3" s="29">
        <f>PRODUCT(Tabela5[[#This Row],[Preço]],Tabela5[[#This Row],[Quantidade]])</f>
        <v>750</v>
      </c>
    </row>
    <row r="4" spans="1:5" x14ac:dyDescent="0.25">
      <c r="A4" s="7" t="s">
        <v>9</v>
      </c>
      <c r="B4" s="1" t="s">
        <v>54</v>
      </c>
      <c r="C4" s="1">
        <v>1</v>
      </c>
      <c r="D4" s="13">
        <v>1200</v>
      </c>
      <c r="E4" s="29">
        <f>PRODUCT(Tabela5[[#This Row],[Preço]],Tabela5[[#This Row],[Quantidade]])</f>
        <v>1200</v>
      </c>
    </row>
    <row r="5" spans="1:5" x14ac:dyDescent="0.25">
      <c r="A5" s="7" t="s">
        <v>11</v>
      </c>
      <c r="B5" s="1" t="s">
        <v>13</v>
      </c>
      <c r="C5" s="1">
        <v>7</v>
      </c>
      <c r="D5" s="13">
        <v>80</v>
      </c>
      <c r="E5" s="29">
        <f>PRODUCT(Tabela5[[#This Row],[Preço]],Tabela5[[#This Row],[Quantidade]])</f>
        <v>560</v>
      </c>
    </row>
    <row r="6" spans="1:5" x14ac:dyDescent="0.25">
      <c r="A6" s="7" t="s">
        <v>12</v>
      </c>
      <c r="B6" s="1" t="s">
        <v>15</v>
      </c>
      <c r="C6" s="1">
        <v>4</v>
      </c>
      <c r="D6" s="13">
        <v>150</v>
      </c>
      <c r="E6" s="29">
        <f>PRODUCT(Tabela5[[#This Row],[Preço]],Tabela5[[#This Row],[Quantidade]])</f>
        <v>600</v>
      </c>
    </row>
    <row r="7" spans="1:5" x14ac:dyDescent="0.25">
      <c r="A7" s="7" t="s">
        <v>10</v>
      </c>
      <c r="B7" s="1" t="s">
        <v>13</v>
      </c>
      <c r="C7" s="1">
        <v>2</v>
      </c>
      <c r="D7" s="13">
        <v>80</v>
      </c>
      <c r="E7" s="29">
        <f>PRODUCT(Tabela5[[#This Row],[Preço]],Tabela5[[#This Row],[Quantidade]])</f>
        <v>160</v>
      </c>
    </row>
    <row r="8" spans="1:5" x14ac:dyDescent="0.25">
      <c r="A8" s="7" t="s">
        <v>11</v>
      </c>
      <c r="B8" s="1" t="s">
        <v>54</v>
      </c>
      <c r="C8" s="1">
        <v>2</v>
      </c>
      <c r="D8" s="13">
        <v>1200</v>
      </c>
      <c r="E8" s="29">
        <f>PRODUCT(Tabela5[[#This Row],[Preço]],Tabela5[[#This Row],[Quantidade]])</f>
        <v>2400</v>
      </c>
    </row>
    <row r="9" spans="1:5" x14ac:dyDescent="0.25">
      <c r="A9" s="7" t="s">
        <v>9</v>
      </c>
      <c r="B9" s="1" t="s">
        <v>14</v>
      </c>
      <c r="C9" s="1">
        <v>1</v>
      </c>
      <c r="D9" s="13">
        <v>250</v>
      </c>
      <c r="E9" s="29">
        <f>PRODUCT(Tabela5[[#This Row],[Preço]],Tabela5[[#This Row],[Quantidade]])</f>
        <v>250</v>
      </c>
    </row>
    <row r="10" spans="1:5" x14ac:dyDescent="0.25">
      <c r="A10" s="7" t="s">
        <v>12</v>
      </c>
      <c r="B10" s="1" t="s">
        <v>13</v>
      </c>
      <c r="C10" s="1">
        <v>6</v>
      </c>
      <c r="D10" s="13">
        <v>80</v>
      </c>
      <c r="E10" s="29">
        <f>PRODUCT(Tabela5[[#This Row],[Preço]],Tabela5[[#This Row],[Quantidade]])</f>
        <v>480</v>
      </c>
    </row>
    <row r="11" spans="1:5" x14ac:dyDescent="0.25">
      <c r="A11" s="8" t="s">
        <v>11</v>
      </c>
      <c r="B11" s="9" t="s">
        <v>15</v>
      </c>
      <c r="C11" s="9">
        <v>3</v>
      </c>
      <c r="D11" s="14">
        <v>150</v>
      </c>
      <c r="E11" s="30">
        <f>PRODUCT(Tabela5[[#This Row],[Preço]],Tabela5[[#This Row],[Quantidade]])</f>
        <v>450</v>
      </c>
    </row>
    <row r="13" spans="1:5" x14ac:dyDescent="0.25">
      <c r="A13" s="42" t="s">
        <v>0</v>
      </c>
      <c r="B13" s="44" t="s">
        <v>56</v>
      </c>
    </row>
    <row r="14" spans="1:5" x14ac:dyDescent="0.25">
      <c r="A14" s="7" t="s">
        <v>11</v>
      </c>
      <c r="B14" s="29">
        <f>SUMIF(Tabela5[Vendedor],A14,Tabela5[Total Produto])</f>
        <v>3410</v>
      </c>
    </row>
    <row r="15" spans="1:5" x14ac:dyDescent="0.25">
      <c r="A15" s="7" t="s">
        <v>9</v>
      </c>
      <c r="B15" s="29">
        <f>SUMIF(Tabela5[Vendedor],A15,Tabela5[Total Produto])</f>
        <v>1850</v>
      </c>
    </row>
    <row r="16" spans="1:5" x14ac:dyDescent="0.25">
      <c r="A16" s="7" t="s">
        <v>12</v>
      </c>
      <c r="B16" s="29">
        <f>SUMIF(Tabela5[Vendedor],A16,Tabela5[Total Produto])</f>
        <v>1080</v>
      </c>
    </row>
    <row r="17" spans="1:2" x14ac:dyDescent="0.25">
      <c r="A17" s="8" t="s">
        <v>10</v>
      </c>
      <c r="B17" s="30">
        <f>SUMIF(Tabela5[Vendedor],A17,Tabela5[Total Produto])</f>
        <v>910</v>
      </c>
    </row>
    <row r="19" spans="1:2" x14ac:dyDescent="0.25">
      <c r="A19" s="42" t="s">
        <v>1</v>
      </c>
      <c r="B19" s="44" t="s">
        <v>52</v>
      </c>
    </row>
    <row r="20" spans="1:2" x14ac:dyDescent="0.25">
      <c r="A20" s="7" t="s">
        <v>13</v>
      </c>
      <c r="B20" s="40">
        <f>SUMIF(Tabela5[Produto],Tabela7[[#This Row],[Produto]],Tabela5[Quantidade])</f>
        <v>20</v>
      </c>
    </row>
    <row r="21" spans="1:2" x14ac:dyDescent="0.25">
      <c r="A21" s="7" t="s">
        <v>15</v>
      </c>
      <c r="B21" s="40">
        <f>SUMIF(Tabela5[Produto],Tabela7[[#This Row],[Produto]],Tabela5[Quantidade])</f>
        <v>7</v>
      </c>
    </row>
    <row r="22" spans="1:2" x14ac:dyDescent="0.25">
      <c r="A22" s="7" t="s">
        <v>14</v>
      </c>
      <c r="B22" s="40">
        <f>SUMIF(Tabela5[Produto],Tabela7[[#This Row],[Produto]],Tabela5[Quantidade])</f>
        <v>4</v>
      </c>
    </row>
    <row r="23" spans="1:2" x14ac:dyDescent="0.25">
      <c r="A23" s="8" t="s">
        <v>54</v>
      </c>
      <c r="B23" s="41">
        <f>SUMIF(Tabela5[Produto],Tabela7[[#This Row],[Produto]],Tabela5[Quantidade])</f>
        <v>3</v>
      </c>
    </row>
    <row r="25" spans="1:2" x14ac:dyDescent="0.25">
      <c r="A25" s="42" t="s">
        <v>1</v>
      </c>
      <c r="B25" s="44" t="s">
        <v>57</v>
      </c>
    </row>
    <row r="26" spans="1:2" x14ac:dyDescent="0.25">
      <c r="A26" s="7" t="s">
        <v>54</v>
      </c>
      <c r="B26" s="29">
        <f>SUMIF(Tabela5[Produto],A26,Tabela5[Total Produto])</f>
        <v>3600</v>
      </c>
    </row>
    <row r="27" spans="1:2" x14ac:dyDescent="0.25">
      <c r="A27" s="7" t="s">
        <v>13</v>
      </c>
      <c r="B27" s="29">
        <f>SUMIF(Tabela5[Produto],A27,Tabela5[Total Produto])</f>
        <v>1600</v>
      </c>
    </row>
    <row r="28" spans="1:2" x14ac:dyDescent="0.25">
      <c r="A28" s="7" t="s">
        <v>15</v>
      </c>
      <c r="B28" s="29">
        <f>SUMIF(Tabela5[Produto],A28,Tabela5[Total Produto])</f>
        <v>1050</v>
      </c>
    </row>
    <row r="29" spans="1:2" x14ac:dyDescent="0.25">
      <c r="A29" s="8" t="s">
        <v>14</v>
      </c>
      <c r="B29" s="30">
        <f>SUMIF(Tabela5[Produto],A29,Tabela5[Total Produto])</f>
        <v>1000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Planilha3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2026-03-16T03:43:21Z</dcterms:created>
  <dcterms:modified xsi:type="dcterms:W3CDTF">2026-03-17T16:25:27Z</dcterms:modified>
</cp:coreProperties>
</file>