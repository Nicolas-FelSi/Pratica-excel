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Atalhos\Pratica-excel\"/>
    </mc:Choice>
  </mc:AlternateContent>
  <xr:revisionPtr revIDLastSave="0" documentId="13_ncr:1_{BC895AC7-9A58-4C82-BB8F-22BFF6794650}" xr6:coauthVersionLast="47" xr6:coauthVersionMax="47" xr10:uidLastSave="{00000000-0000-0000-0000-000000000000}"/>
  <bookViews>
    <workbookView xWindow="2205" yWindow="2205" windowWidth="18000" windowHeight="9360" activeTab="2" xr2:uid="{890CE7BA-B873-43E6-A00E-A3342D9A1C89}"/>
  </bookViews>
  <sheets>
    <sheet name="Planilha1" sheetId="1" r:id="rId1"/>
    <sheet name="Planilha2" sheetId="3" r:id="rId2"/>
    <sheet name="Planilh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G4" i="4"/>
  <c r="G5" i="4"/>
  <c r="G6" i="4"/>
  <c r="G7" i="4"/>
  <c r="G8" i="4"/>
  <c r="G9" i="4"/>
  <c r="G10" i="4"/>
  <c r="G11" i="4"/>
  <c r="F5" i="4"/>
  <c r="F6" i="4"/>
  <c r="F7" i="4"/>
  <c r="F8" i="4"/>
  <c r="F9" i="4"/>
  <c r="F10" i="4"/>
  <c r="F11" i="4"/>
  <c r="F4" i="4"/>
  <c r="C18" i="3"/>
  <c r="D18" i="3"/>
  <c r="E18" i="3"/>
  <c r="F18" i="3"/>
  <c r="G18" i="3"/>
  <c r="B18" i="3"/>
  <c r="D16" i="3"/>
  <c r="E16" i="3"/>
  <c r="F16" i="3"/>
  <c r="G16" i="3"/>
  <c r="C16" i="3"/>
  <c r="B16" i="3"/>
  <c r="B23" i="1"/>
  <c r="D21" i="1"/>
  <c r="C21" i="1"/>
  <c r="E21" i="1"/>
  <c r="E11" i="1"/>
  <c r="D11" i="1"/>
  <c r="C11" i="1"/>
  <c r="I14" i="1"/>
  <c r="I15" i="1"/>
  <c r="I16" i="1"/>
  <c r="I17" i="1"/>
  <c r="I18" i="1"/>
  <c r="I19" i="1"/>
  <c r="H14" i="1"/>
  <c r="H15" i="1"/>
  <c r="H16" i="1"/>
  <c r="H17" i="1"/>
  <c r="H18" i="1"/>
  <c r="H19" i="1"/>
  <c r="G14" i="1"/>
  <c r="G15" i="1"/>
  <c r="G16" i="1"/>
  <c r="G17" i="1"/>
  <c r="G18" i="1"/>
  <c r="G19" i="1"/>
  <c r="F14" i="1"/>
  <c r="F15" i="1"/>
  <c r="F16" i="1"/>
  <c r="F17" i="1"/>
  <c r="F18" i="1"/>
  <c r="F19" i="1"/>
  <c r="H4" i="1"/>
  <c r="H5" i="1"/>
  <c r="H6" i="1"/>
  <c r="H7" i="1"/>
  <c r="H8" i="1"/>
  <c r="H9" i="1"/>
  <c r="I4" i="1"/>
  <c r="I5" i="1"/>
  <c r="I6" i="1"/>
  <c r="I7" i="1"/>
  <c r="I8" i="1"/>
  <c r="I9" i="1"/>
  <c r="G4" i="1"/>
  <c r="G5" i="1"/>
  <c r="G6" i="1"/>
  <c r="G7" i="1"/>
  <c r="G8" i="1"/>
  <c r="G9" i="1"/>
  <c r="F4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<sst xmlns="http://schemas.openxmlformats.org/spreadsheetml/2006/main" count="70" uniqueCount="55">
  <si>
    <t>Empresa Nacional S/A</t>
  </si>
  <si>
    <t>Código</t>
  </si>
  <si>
    <t>Produto</t>
  </si>
  <si>
    <t>Jan</t>
  </si>
  <si>
    <t>Fev</t>
  </si>
  <si>
    <t>Mar</t>
  </si>
  <si>
    <t>Total 1º Trim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</si>
  <si>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</si>
  <si>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</si>
  <si>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</si>
  <si>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</si>
  <si>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</si>
  <si>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</si>
  <si>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</si>
  <si>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</si>
  <si>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</si>
  <si>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Totais</t>
  </si>
  <si>
    <t>Total 2º Trim</t>
  </si>
  <si>
    <t>Total do Semestre</t>
  </si>
  <si>
    <t>CONTAS A PAGAR</t>
  </si>
  <si>
    <t>SALÁRIO</t>
  </si>
  <si>
    <t>JANEIRO</t>
  </si>
  <si>
    <t>FEVEREIRO</t>
  </si>
  <si>
    <t>MARÇO</t>
  </si>
  <si>
    <t>ABRIL</t>
  </si>
  <si>
    <t>MAIO</t>
  </si>
  <si>
    <t>JUNHO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</si>
  <si>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</si>
  <si>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</si>
  <si>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</si>
  <si>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</si>
  <si>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</si>
  <si>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</si>
  <si>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</si>
  <si>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</si>
  <si>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</si>
  <si>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</si>
  <si>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>SALDO</t>
  </si>
  <si>
    <t>Araras Informática - Hardware e Software Rua São Franciso de Assis, 123 - Araras SP</t>
  </si>
  <si>
    <t>Nº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</si>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</sst>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theme="4" tint="0.5999938962981048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87">
    <xf numFmtId="0" fontId="0" fillId="0" borderId="0" xfId="0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4" fontId="0" fillId="0" borderId="10" xfId="0" applyNumberFormat="1" applyBorder="1"/>
    <xf numFmtId="0" fontId="0" fillId="0" borderId="5" xfId="0" applyBorder="1"/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3" borderId="1" xfId="0" applyFont="1" applyFill="1" applyBorder="1"/>
    <xf numFmtId="4" fontId="0" fillId="3" borderId="1" xfId="0" applyNumberFormat="1" applyFont="1" applyFill="1" applyBorder="1"/>
    <xf numFmtId="0" fontId="0" fillId="2" borderId="1" xfId="0" applyFont="1" applyFill="1" applyBorder="1"/>
    <xf numFmtId="4" fontId="0" fillId="2" borderId="1" xfId="0" applyNumberFormat="1" applyFont="1" applyFill="1" applyBorder="1"/>
    <xf numFmtId="0" fontId="1" fillId="0" borderId="0" xfId="0" applyFont="1" applyFill="1"/>
    <xf numFmtId="4" fontId="0" fillId="0" borderId="2" xfId="0" applyNumberFormat="1" applyBorder="1"/>
    <xf numFmtId="0" fontId="0" fillId="3" borderId="4" xfId="0" applyFont="1" applyFill="1" applyBorder="1"/>
    <xf numFmtId="0" fontId="0" fillId="2" borderId="4" xfId="0" applyFont="1" applyFill="1" applyBorder="1"/>
    <xf numFmtId="4" fontId="0" fillId="3" borderId="2" xfId="0" applyNumberFormat="1" applyFont="1" applyFill="1" applyBorder="1"/>
    <xf numFmtId="4" fontId="0" fillId="2" borderId="2" xfId="0" applyNumberFormat="1" applyFont="1" applyFill="1" applyBorder="1"/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2" borderId="6" xfId="0" applyFont="1" applyFill="1" applyBorder="1"/>
    <xf numFmtId="0" fontId="0" fillId="2" borderId="10" xfId="0" applyFont="1" applyFill="1" applyBorder="1"/>
    <xf numFmtId="4" fontId="0" fillId="2" borderId="10" xfId="0" applyNumberFormat="1" applyFont="1" applyFill="1" applyBorder="1"/>
    <xf numFmtId="4" fontId="0" fillId="2" borderId="5" xfId="0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4" fontId="0" fillId="3" borderId="21" xfId="0" applyNumberFormat="1" applyFont="1" applyFill="1" applyBorder="1"/>
    <xf numFmtId="4" fontId="0" fillId="3" borderId="22" xfId="0" applyNumberFormat="1" applyFont="1" applyFill="1" applyBorder="1"/>
    <xf numFmtId="0" fontId="1" fillId="5" borderId="20" xfId="0" applyFont="1" applyFill="1" applyBorder="1" applyAlignment="1">
      <alignment wrapText="1"/>
    </xf>
    <xf numFmtId="4" fontId="0" fillId="3" borderId="22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1" fillId="5" borderId="20" xfId="0" applyFont="1" applyFill="1" applyBorder="1" applyAlignment="1">
      <alignment horizontal="left"/>
    </xf>
    <xf numFmtId="0" fontId="1" fillId="5" borderId="21" xfId="0" applyFont="1" applyFill="1" applyBorder="1" applyAlignment="1">
      <alignment horizontal="left"/>
    </xf>
    <xf numFmtId="0" fontId="0" fillId="0" borderId="0" xfId="0" applyBorder="1"/>
    <xf numFmtId="0" fontId="0" fillId="0" borderId="25" xfId="0" applyBorder="1"/>
    <xf numFmtId="0" fontId="0" fillId="0" borderId="26" xfId="0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10" xfId="0" applyNumberFormat="1" applyBorder="1"/>
    <xf numFmtId="164" fontId="0" fillId="0" borderId="5" xfId="0" applyNumberFormat="1" applyBorder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2" fillId="7" borderId="17" xfId="0" applyFont="1" applyFill="1" applyBorder="1"/>
    <xf numFmtId="164" fontId="0" fillId="7" borderId="18" xfId="0" applyNumberFormat="1" applyFill="1" applyBorder="1"/>
    <xf numFmtId="164" fontId="0" fillId="7" borderId="19" xfId="0" applyNumberFormat="1" applyFill="1" applyBorder="1"/>
    <xf numFmtId="164" fontId="0" fillId="7" borderId="1" xfId="0" applyNumberFormat="1" applyFill="1" applyBorder="1"/>
    <xf numFmtId="164" fontId="0" fillId="7" borderId="24" xfId="0" applyNumberFormat="1" applyFill="1" applyBorder="1"/>
    <xf numFmtId="164" fontId="0" fillId="8" borderId="1" xfId="0" applyNumberFormat="1" applyFill="1" applyBorder="1"/>
    <xf numFmtId="164" fontId="0" fillId="8" borderId="24" xfId="0" applyNumberFormat="1" applyFill="1" applyBorder="1"/>
    <xf numFmtId="164" fontId="0" fillId="8" borderId="18" xfId="0" applyNumberFormat="1" applyFill="1" applyBorder="1"/>
    <xf numFmtId="164" fontId="0" fillId="8" borderId="19" xfId="0" applyNumberFormat="1" applyFill="1" applyBorder="1"/>
    <xf numFmtId="0" fontId="6" fillId="6" borderId="14" xfId="0" applyFont="1" applyFill="1" applyBorder="1"/>
    <xf numFmtId="0" fontId="6" fillId="6" borderId="23" xfId="0" applyFont="1" applyFill="1" applyBorder="1"/>
    <xf numFmtId="0" fontId="6" fillId="6" borderId="17" xfId="0" applyFont="1" applyFill="1" applyBorder="1"/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15" xfId="0" applyFont="1" applyFill="1" applyBorder="1"/>
    <xf numFmtId="0" fontId="6" fillId="6" borderId="16" xfId="0" applyFont="1" applyFill="1" applyBorder="1"/>
    <xf numFmtId="0" fontId="2" fillId="6" borderId="20" xfId="0" applyFont="1" applyFill="1" applyBorder="1"/>
    <xf numFmtId="164" fontId="0" fillId="9" borderId="21" xfId="0" applyNumberFormat="1" applyFill="1" applyBorder="1"/>
    <xf numFmtId="164" fontId="0" fillId="0" borderId="0" xfId="0" applyNumberFormat="1"/>
    <xf numFmtId="10" fontId="0" fillId="0" borderId="1" xfId="0" applyNumberFormat="1" applyBorder="1"/>
    <xf numFmtId="44" fontId="0" fillId="0" borderId="1" xfId="1" applyFont="1" applyBorder="1"/>
    <xf numFmtId="10" fontId="0" fillId="0" borderId="2" xfId="0" applyNumberFormat="1" applyBorder="1"/>
    <xf numFmtId="44" fontId="0" fillId="0" borderId="9" xfId="1" applyFont="1" applyBorder="1"/>
    <xf numFmtId="0" fontId="7" fillId="10" borderId="11" xfId="0" applyFont="1" applyFill="1" applyBorder="1" applyAlignment="1">
      <alignment horizontal="center" wrapText="1"/>
    </xf>
    <xf numFmtId="0" fontId="7" fillId="10" borderId="12" xfId="0" applyFont="1" applyFill="1" applyBorder="1" applyAlignment="1">
      <alignment horizontal="center" wrapText="1"/>
    </xf>
    <xf numFmtId="0" fontId="7" fillId="10" borderId="13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10" borderId="8" xfId="0" applyFont="1" applyFill="1" applyBorder="1"/>
    <xf numFmtId="0" fontId="1" fillId="10" borderId="9" xfId="0" applyFont="1" applyFill="1" applyBorder="1"/>
    <xf numFmtId="0" fontId="1" fillId="10" borderId="7" xfId="0" applyFont="1" applyFill="1" applyBorder="1"/>
    <xf numFmtId="0" fontId="0" fillId="0" borderId="6" xfId="0" applyBorder="1" applyAlignment="1">
      <alignment horizontal="center"/>
    </xf>
    <xf numFmtId="10" fontId="0" fillId="0" borderId="10" xfId="0" applyNumberFormat="1" applyBorder="1"/>
    <xf numFmtId="10" fontId="0" fillId="0" borderId="5" xfId="0" applyNumberFormat="1" applyBorder="1"/>
    <xf numFmtId="44" fontId="0" fillId="0" borderId="10" xfId="1" applyFont="1" applyBorder="1"/>
    <xf numFmtId="44" fontId="0" fillId="0" borderId="4" xfId="1" applyFont="1" applyBorder="1"/>
    <xf numFmtId="44" fontId="0" fillId="0" borderId="6" xfId="1" applyFont="1" applyBorder="1"/>
  </cellXfs>
  <cellStyles count="2">
    <cellStyle name="Moeda" xfId="1" builtinId="4"/>
    <cellStyle name="Normal" xfId="0" builtinId="0"/>
  </cellStyles>
  <dxfs count="39">
    <dxf>
      <numFmt numFmtId="164" formatCode="_-[$R$-416]\ * #,##0.00_-;\-[$R$-416]\ * #,##0.00_-;_-[$R$-416]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6161"/>
        </patternFill>
      </fill>
    </dxf>
    <dxf>
      <numFmt numFmtId="4" formatCode="#,##0.00"/>
      <border diagonalUp="0" diagonalDown="0">
        <left style="thin">
          <color indexed="64"/>
        </left>
        <right/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outline="0"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92150-1FF8-4D79-983A-B84F9D375AAE}" name="Tabela1" displayName="Tabela1" ref="A3:I9" totalsRowShown="0" headerRowDxfId="38" headerRowBorderDxfId="37" tableBorderDxfId="36" totalsRowBorderDxfId="35">
  <autoFilter ref="A3:I9" xr:uid="{6B392150-1FF8-4D79-983A-B84F9D375AAE}"/>
  <tableColumns count="9">
    <tableColumn id="1" xr3:uid="{D29EFF5B-29A9-4C63-83AF-EB17834982D2}" name="Código" dataDxfId="34"/>
    <tableColumn id="2" xr3:uid="{F469E053-A437-4E4C-A9EC-E6BC934E0B63}" name="Produto" dataDxfId="33"/>
    <tableColumn id="3" xr3:uid="{5C2A85AB-18BC-406F-ABA6-081CB33FEE5E}" name="Jan" dataDxfId="32"/>
    <tableColumn id="4" xr3:uid="{0F18F478-0026-4D98-B51A-AF121EB7F6A8}" name="Fev" dataDxfId="31"/>
    <tableColumn id="5" xr3:uid="{BE1EC996-ADAF-4722-9401-0D27B12F5A32}" name="Mar" dataDxfId="30"/>
    <tableColumn id="6" xr3:uid="{35B62B4B-87E3-478E-AF99-7303C528371E}" name="Total 1º Trim" dataDxfId="29">
      <calculatedColumnFormula>SUM(Tabela1[[#This Row],[Jan]:[Mar]])</calculatedColumnFormula>
    </tableColumn>
    <tableColumn id="7" xr3:uid="{CDE59DB9-557B-4921-A63B-2D0613FB39D0}" name="Máximo" dataDxfId="28">
      <calculatedColumnFormula>MAX(Tabela1[[#This Row],[Jan]:[Mar]])</calculatedColumnFormula>
    </tableColumn>
    <tableColumn id="8" xr3:uid="{1C169EB5-B43C-4384-8642-9F90B96D6461}" name="Mínimo" dataDxfId="27">
      <calculatedColumnFormula>MIN(Tabela1[[#This Row],[Jan]:[Mar]])</calculatedColumnFormula>
    </tableColumn>
    <tableColumn id="9" xr3:uid="{C1E9C8ED-EB84-45E8-82C7-7385CB0FDE05}" name="Média" dataDxfId="26">
      <calculatedColumnFormula>AVERAGE(Tabela1[[#This Row],[Jan]:[Mar]])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D6985B-E363-4BA3-81BA-6362D9DA0C28}" name="Tabela3" displayName="Tabela3" ref="A13:I19" totalsRowShown="0" headerRowDxfId="25" dataDxfId="23" headerRowBorderDxfId="24" tableBorderDxfId="22" totalsRowBorderDxfId="21">
  <autoFilter ref="A13:I19" xr:uid="{65D6985B-E363-4BA3-81BA-6362D9DA0C28}"/>
  <tableColumns count="9">
    <tableColumn id="1" xr3:uid="{139A7BD5-D79D-45CA-9EB0-0C71E8E06540}" name="Código" dataDxfId="20"/>
    <tableColumn id="2" xr3:uid="{52730731-E815-44BF-96E9-806B62C1164E}" name="Produto" dataDxfId="19"/>
    <tableColumn id="3" xr3:uid="{165403EA-39C3-4395-B237-291980C56510}" name="Jan" dataDxfId="18"/>
    <tableColumn id="4" xr3:uid="{38283304-6538-4776-BFE1-A16F55D4468A}" name="Fev" dataDxfId="17"/>
    <tableColumn id="5" xr3:uid="{39FEB114-289A-4DCC-A313-8E2A12FB999E}" name="Mar" dataDxfId="16"/>
    <tableColumn id="6" xr3:uid="{D4023A96-4232-4EB3-895F-06E796047292}" name="Total 2º Trim" dataDxfId="15">
      <calculatedColumnFormula>SUM(C14:E14)</calculatedColumnFormula>
    </tableColumn>
    <tableColumn id="7" xr3:uid="{4010E390-22FF-4CDA-A55D-F99CD29039A8}" name="Máximo" dataDxfId="14">
      <calculatedColumnFormula>MAX(Tabela3[[#This Row],[Jan]:[Mar]])</calculatedColumnFormula>
    </tableColumn>
    <tableColumn id="8" xr3:uid="{A48D0E75-0D4A-4A36-A141-0F3B823A8E3F}" name="Mínimo" dataDxfId="13">
      <calculatedColumnFormula>MIN(Tabela3[[#This Row],[Jan]:[Mar]])</calculatedColumnFormula>
    </tableColumn>
    <tableColumn id="9" xr3:uid="{9C8DFACE-1CF3-443D-81C3-C0F9F8C26FD0}" name="Média" dataDxfId="12">
      <calculatedColumnFormula>AVERAGE(Tabela3[[#This Row],[Jan]:[Mar]])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5830C7-B0CF-47C6-962C-31908BFEED85}" name="Tabela5" displayName="Tabela5" ref="A3:H11" totalsRowShown="0" headerRowDxfId="2" headerRowBorderDxfId="9" tableBorderDxfId="10">
  <autoFilter ref="A3:H11" xr:uid="{EA5830C7-B0CF-47C6-962C-31908BFEED85}"/>
  <tableColumns count="8">
    <tableColumn id="1" xr3:uid="{1DDE7B1D-0012-4214-BDFD-7788726E2468}" name="Nº" dataDxfId="8"/>
    <tableColumn id="2" xr3:uid="{C8C72738-D865-4DAD-928D-602CEA8A2CA5}" name="NOME" dataDxfId="7"/>
    <tableColumn id="3" xr3:uid="{32B99505-0BE7-4599-91B3-0E3092EA7D8B}" name="Salário Bruto" dataDxfId="6"/>
    <tableColumn id="4" xr3:uid="{13871CEC-1FBA-4DAF-8273-2B9B0B749B1F}" name="INSS" dataDxfId="5"/>
    <tableColumn id="5" xr3:uid="{5ADED5DE-D7A2-452E-BE07-124A3867F392}" name="Gratificação" dataDxfId="4"/>
    <tableColumn id="6" xr3:uid="{07861B2E-2872-4DFC-A863-BE8501E09FEB}" name="INSS R$" dataDxfId="3" dataCellStyle="Moeda">
      <calculatedColumnFormula>PRODUCT(C4,D4)</calculatedColumnFormula>
    </tableColumn>
    <tableColumn id="7" xr3:uid="{342A8A2C-E339-4017-816F-E95F621404CA}" name="Gratificação R$" dataDxfId="1" dataCellStyle="Moeda">
      <calculatedColumnFormula>PRODUCT(Tabela5[[#This Row],[Salário Bruto]],Tabela5[[#This Row],[Gratificação]])</calculatedColumnFormula>
    </tableColumn>
    <tableColumn id="8" xr3:uid="{10C05A7A-8DA4-4444-87C6-3AD12C5251E8}" name="Salário Líquido" dataDxfId="0">
      <calculatedColumnFormula>SUM(Tabela5[[#This Row],[Salário Bruto]],Tabela5[[#This Row],[Gratificação R$]]) - Tabela5[[#This Row],[INSS R$]]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B1E6-CB51-4CAB-8988-348DBAD653A1}">
  <dimension ref="A1:I23"/>
  <sheetViews>
    <sheetView workbookViewId="0">
      <selection activeCell="C3" sqref="C3"/>
    </sheetView>
  </sheetViews>
  <sheetFormatPr defaultRowHeight="15" x14ac:dyDescent="0.25"/>
  <cols>
    <col min="1" max="1" width="11.7109375" customWidth="1"/>
    <col min="2" max="2" width="10.28515625" customWidth="1"/>
    <col min="3" max="3" width="12" customWidth="1"/>
    <col min="4" max="4" width="11.85546875" customWidth="1"/>
    <col min="5" max="5" width="11.28515625" customWidth="1"/>
    <col min="6" max="6" width="14.42578125" customWidth="1"/>
    <col min="7" max="7" width="12.28515625" customWidth="1"/>
    <col min="8" max="8" width="11.85546875" customWidth="1"/>
    <col min="9" max="9" width="11.28515625" customWidth="1"/>
  </cols>
  <sheetData>
    <row r="1" spans="1:9" ht="18.75" x14ac:dyDescent="0.3">
      <c r="A1" s="35" t="s">
        <v>0</v>
      </c>
      <c r="B1" s="36"/>
      <c r="C1" s="36"/>
      <c r="D1" s="36"/>
      <c r="E1" s="36"/>
      <c r="F1" s="36"/>
      <c r="G1" s="36"/>
      <c r="H1" s="36"/>
      <c r="I1" s="37"/>
    </row>
    <row r="3" spans="1:9" x14ac:dyDescent="0.25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1" t="s">
        <v>9</v>
      </c>
    </row>
    <row r="4" spans="1:9" x14ac:dyDescent="0.25">
      <c r="A4" s="4">
        <v>1</v>
      </c>
      <c r="B4" s="2" t="s">
        <v>10</v>
      </c>
      <c r="C4" s="3">
        <v>4500</v>
      </c>
      <c r="D4" s="3">
        <v>5040</v>
      </c>
      <c r="E4" s="3">
        <v>5696</v>
      </c>
      <c r="F4" s="3">
        <f>SUM(Tabela1[[#This Row],[Jan]:[Mar]])</f>
        <v>15236</v>
      </c>
      <c r="G4" s="3">
        <f>MAX(Tabela1[[#This Row],[Jan]:[Mar]])</f>
        <v>5696</v>
      </c>
      <c r="H4" s="3">
        <f>MIN(Tabela1[[#This Row],[Jan]:[Mar]])</f>
        <v>4500</v>
      </c>
      <c r="I4" s="17">
        <f>AVERAGE(Tabela1[[#This Row],[Jan]:[Mar]])</f>
        <v>5078.666666666667</v>
      </c>
    </row>
    <row r="5" spans="1:9" x14ac:dyDescent="0.25">
      <c r="A5" s="4">
        <v>2</v>
      </c>
      <c r="B5" s="2" t="s">
        <v>11</v>
      </c>
      <c r="C5" s="3">
        <v>6250</v>
      </c>
      <c r="D5" s="3">
        <v>7000</v>
      </c>
      <c r="E5" s="3">
        <v>7910</v>
      </c>
      <c r="F5" s="3">
        <f>SUM(Tabela1[[#This Row],[Jan]:[Mar]])</f>
        <v>21160</v>
      </c>
      <c r="G5" s="3">
        <f>MAX(Tabela1[[#This Row],[Jan]:[Mar]])</f>
        <v>7910</v>
      </c>
      <c r="H5" s="3">
        <f>MIN(Tabela1[[#This Row],[Jan]:[Mar]])</f>
        <v>6250</v>
      </c>
      <c r="I5" s="17">
        <f>AVERAGE(Tabela1[[#This Row],[Jan]:[Mar]])</f>
        <v>7053.333333333333</v>
      </c>
    </row>
    <row r="6" spans="1:9" x14ac:dyDescent="0.25">
      <c r="A6" s="4">
        <v>3</v>
      </c>
      <c r="B6" s="2" t="s">
        <v>12</v>
      </c>
      <c r="C6" s="3">
        <v>3300</v>
      </c>
      <c r="D6" s="3">
        <v>3696</v>
      </c>
      <c r="E6" s="3">
        <v>4176</v>
      </c>
      <c r="F6" s="3">
        <f>SUM(Tabela1[[#This Row],[Jan]:[Mar]])</f>
        <v>11172</v>
      </c>
      <c r="G6" s="3">
        <f>MAX(Tabela1[[#This Row],[Jan]:[Mar]])</f>
        <v>4176</v>
      </c>
      <c r="H6" s="3">
        <f>MIN(Tabela1[[#This Row],[Jan]:[Mar]])</f>
        <v>3300</v>
      </c>
      <c r="I6" s="17">
        <f>AVERAGE(Tabela1[[#This Row],[Jan]:[Mar]])</f>
        <v>3724</v>
      </c>
    </row>
    <row r="7" spans="1:9" x14ac:dyDescent="0.25">
      <c r="A7" s="4">
        <v>4</v>
      </c>
      <c r="B7" s="2" t="s">
        <v>13</v>
      </c>
      <c r="C7" s="3">
        <v>8000</v>
      </c>
      <c r="D7" s="3">
        <v>8690</v>
      </c>
      <c r="E7" s="3">
        <v>10125</v>
      </c>
      <c r="F7" s="3">
        <f>SUM(Tabela1[[#This Row],[Jan]:[Mar]])</f>
        <v>26815</v>
      </c>
      <c r="G7" s="3">
        <f>MAX(Tabela1[[#This Row],[Jan]:[Mar]])</f>
        <v>10125</v>
      </c>
      <c r="H7" s="3">
        <f>MIN(Tabela1[[#This Row],[Jan]:[Mar]])</f>
        <v>8000</v>
      </c>
      <c r="I7" s="17">
        <f>AVERAGE(Tabela1[[#This Row],[Jan]:[Mar]])</f>
        <v>8938.3333333333339</v>
      </c>
    </row>
    <row r="8" spans="1:9" x14ac:dyDescent="0.25">
      <c r="A8" s="4">
        <v>5</v>
      </c>
      <c r="B8" s="2" t="s">
        <v>14</v>
      </c>
      <c r="C8" s="3">
        <v>4557</v>
      </c>
      <c r="D8" s="3">
        <v>5104</v>
      </c>
      <c r="E8" s="3">
        <v>5676</v>
      </c>
      <c r="F8" s="3">
        <f>SUM(Tabela1[[#This Row],[Jan]:[Mar]])</f>
        <v>15337</v>
      </c>
      <c r="G8" s="3">
        <f>MAX(Tabela1[[#This Row],[Jan]:[Mar]])</f>
        <v>5676</v>
      </c>
      <c r="H8" s="3">
        <f>MIN(Tabela1[[#This Row],[Jan]:[Mar]])</f>
        <v>4557</v>
      </c>
      <c r="I8" s="17">
        <f>AVERAGE(Tabela1[[#This Row],[Jan]:[Mar]])</f>
        <v>5112.333333333333</v>
      </c>
    </row>
    <row r="9" spans="1:9" x14ac:dyDescent="0.25">
      <c r="A9" s="5">
        <v>6</v>
      </c>
      <c r="B9" s="6" t="s">
        <v>15</v>
      </c>
      <c r="C9" s="7">
        <v>3260</v>
      </c>
      <c r="D9" s="7">
        <v>3640</v>
      </c>
      <c r="E9" s="7">
        <v>4113</v>
      </c>
      <c r="F9" s="7">
        <f>SUM(Tabela1[[#This Row],[Jan]:[Mar]])</f>
        <v>11013</v>
      </c>
      <c r="G9" s="7">
        <f>MAX(Tabela1[[#This Row],[Jan]:[Mar]])</f>
        <v>4113</v>
      </c>
      <c r="H9" s="7">
        <f>MIN(Tabela1[[#This Row],[Jan]:[Mar]])</f>
        <v>3260</v>
      </c>
      <c r="I9" s="8">
        <f>AVERAGE(Tabela1[[#This Row],[Jan]:[Mar]])</f>
        <v>3671</v>
      </c>
    </row>
    <row r="10" spans="1:9" ht="15.75" thickBot="1" x14ac:dyDescent="0.3"/>
    <row r="11" spans="1:9" ht="15.75" thickBot="1" x14ac:dyDescent="0.3">
      <c r="A11" s="38" t="s">
        <v>16</v>
      </c>
      <c r="B11" s="39"/>
      <c r="C11" s="31">
        <f>SUM(Tabela1[Jan])</f>
        <v>29867</v>
      </c>
      <c r="D11" s="31">
        <f>SUM(Tabela1[Fev])</f>
        <v>33170</v>
      </c>
      <c r="E11" s="32">
        <f>SUM(Tabela1[Mar])</f>
        <v>37696</v>
      </c>
      <c r="F11" s="29"/>
      <c r="G11" s="29"/>
      <c r="H11" s="29"/>
      <c r="I11" s="29"/>
    </row>
    <row r="12" spans="1:9" x14ac:dyDescent="0.25">
      <c r="C12" s="16"/>
    </row>
    <row r="13" spans="1:9" x14ac:dyDescent="0.25">
      <c r="A13" s="22" t="s">
        <v>1</v>
      </c>
      <c r="B13" s="23" t="s">
        <v>2</v>
      </c>
      <c r="C13" s="23" t="s">
        <v>3</v>
      </c>
      <c r="D13" s="23" t="s">
        <v>4</v>
      </c>
      <c r="E13" s="23" t="s">
        <v>5</v>
      </c>
      <c r="F13" s="23" t="s">
        <v>17</v>
      </c>
      <c r="G13" s="23" t="s">
        <v>7</v>
      </c>
      <c r="H13" s="23" t="s">
        <v>8</v>
      </c>
      <c r="I13" s="24" t="s">
        <v>9</v>
      </c>
    </row>
    <row r="14" spans="1:9" x14ac:dyDescent="0.25">
      <c r="A14" s="18">
        <v>1</v>
      </c>
      <c r="B14" s="12" t="s">
        <v>10</v>
      </c>
      <c r="C14" s="13">
        <v>6265</v>
      </c>
      <c r="D14" s="13">
        <v>6954</v>
      </c>
      <c r="E14" s="13">
        <v>7858</v>
      </c>
      <c r="F14" s="13">
        <f t="shared" ref="F14:F19" si="0">SUM(C14:E14)</f>
        <v>21077</v>
      </c>
      <c r="G14" s="13">
        <f>MAX(Tabela3[[#This Row],[Jan]:[Mar]])</f>
        <v>7858</v>
      </c>
      <c r="H14" s="13">
        <f>MIN(Tabela3[[#This Row],[Jan]:[Mar]])</f>
        <v>6265</v>
      </c>
      <c r="I14" s="20">
        <f>AVERAGE(Tabela3[[#This Row],[Jan]:[Mar]])</f>
        <v>7025.666666666667</v>
      </c>
    </row>
    <row r="15" spans="1:9" x14ac:dyDescent="0.25">
      <c r="A15" s="19">
        <v>2</v>
      </c>
      <c r="B15" s="14" t="s">
        <v>11</v>
      </c>
      <c r="C15" s="15">
        <v>8701</v>
      </c>
      <c r="D15" s="15">
        <v>9658</v>
      </c>
      <c r="E15" s="15">
        <v>10197</v>
      </c>
      <c r="F15" s="15">
        <f t="shared" si="0"/>
        <v>28556</v>
      </c>
      <c r="G15" s="15">
        <f>MAX(Tabela3[[#This Row],[Jan]:[Mar]])</f>
        <v>10197</v>
      </c>
      <c r="H15" s="15">
        <f>MIN(Tabela3[[#This Row],[Jan]:[Mar]])</f>
        <v>8701</v>
      </c>
      <c r="I15" s="21">
        <f>AVERAGE(Tabela3[[#This Row],[Jan]:[Mar]])</f>
        <v>9518.6666666666661</v>
      </c>
    </row>
    <row r="16" spans="1:9" x14ac:dyDescent="0.25">
      <c r="A16" s="18">
        <v>3</v>
      </c>
      <c r="B16" s="12" t="s">
        <v>12</v>
      </c>
      <c r="C16" s="13">
        <v>4569</v>
      </c>
      <c r="D16" s="13">
        <v>5099</v>
      </c>
      <c r="E16" s="13">
        <v>5769</v>
      </c>
      <c r="F16" s="13">
        <f t="shared" si="0"/>
        <v>15437</v>
      </c>
      <c r="G16" s="13">
        <f>MAX(Tabela3[[#This Row],[Jan]:[Mar]])</f>
        <v>5769</v>
      </c>
      <c r="H16" s="13">
        <f>MIN(Tabela3[[#This Row],[Jan]:[Mar]])</f>
        <v>4569</v>
      </c>
      <c r="I16" s="20">
        <f>AVERAGE(Tabela3[[#This Row],[Jan]:[Mar]])</f>
        <v>5145.666666666667</v>
      </c>
    </row>
    <row r="17" spans="1:9" x14ac:dyDescent="0.25">
      <c r="A17" s="19">
        <v>4</v>
      </c>
      <c r="B17" s="14" t="s">
        <v>13</v>
      </c>
      <c r="C17" s="15">
        <v>12341</v>
      </c>
      <c r="D17" s="15">
        <v>12365</v>
      </c>
      <c r="E17" s="15">
        <v>13969</v>
      </c>
      <c r="F17" s="15">
        <f t="shared" si="0"/>
        <v>38675</v>
      </c>
      <c r="G17" s="15">
        <f>MAX(Tabela3[[#This Row],[Jan]:[Mar]])</f>
        <v>13969</v>
      </c>
      <c r="H17" s="15">
        <f>MIN(Tabela3[[#This Row],[Jan]:[Mar]])</f>
        <v>12341</v>
      </c>
      <c r="I17" s="21">
        <f>AVERAGE(Tabela3[[#This Row],[Jan]:[Mar]])</f>
        <v>12891.666666666666</v>
      </c>
    </row>
    <row r="18" spans="1:9" x14ac:dyDescent="0.25">
      <c r="A18" s="18">
        <v>5</v>
      </c>
      <c r="B18" s="12" t="s">
        <v>14</v>
      </c>
      <c r="C18" s="13">
        <v>6344</v>
      </c>
      <c r="D18" s="13">
        <v>7042</v>
      </c>
      <c r="E18" s="13">
        <v>7957</v>
      </c>
      <c r="F18" s="13">
        <f t="shared" si="0"/>
        <v>21343</v>
      </c>
      <c r="G18" s="13">
        <f>MAX(Tabela3[[#This Row],[Jan]:[Mar]])</f>
        <v>7957</v>
      </c>
      <c r="H18" s="13">
        <f>MIN(Tabela3[[#This Row],[Jan]:[Mar]])</f>
        <v>6344</v>
      </c>
      <c r="I18" s="20">
        <f>AVERAGE(Tabela3[[#This Row],[Jan]:[Mar]])</f>
        <v>7114.333333333333</v>
      </c>
    </row>
    <row r="19" spans="1:9" x14ac:dyDescent="0.25">
      <c r="A19" s="25">
        <v>6</v>
      </c>
      <c r="B19" s="26" t="s">
        <v>15</v>
      </c>
      <c r="C19" s="27">
        <v>4525</v>
      </c>
      <c r="D19" s="27">
        <v>5022</v>
      </c>
      <c r="E19" s="27">
        <v>5671</v>
      </c>
      <c r="F19" s="27">
        <f t="shared" si="0"/>
        <v>15218</v>
      </c>
      <c r="G19" s="27">
        <f>MAX(Tabela3[[#This Row],[Jan]:[Mar]])</f>
        <v>5671</v>
      </c>
      <c r="H19" s="27">
        <f>MIN(Tabela3[[#This Row],[Jan]:[Mar]])</f>
        <v>4525</v>
      </c>
      <c r="I19" s="28">
        <f>AVERAGE(Tabela3[[#This Row],[Jan]:[Mar]])</f>
        <v>5072.666666666667</v>
      </c>
    </row>
    <row r="20" spans="1:9" ht="15.75" thickBot="1" x14ac:dyDescent="0.3"/>
    <row r="21" spans="1:9" ht="15.75" thickBot="1" x14ac:dyDescent="0.3">
      <c r="A21" s="38" t="s">
        <v>16</v>
      </c>
      <c r="B21" s="39"/>
      <c r="C21" s="31">
        <f>SUM(Tabela3[Jan])</f>
        <v>42745</v>
      </c>
      <c r="D21" s="31">
        <f>SUM(Tabela3[Fev])</f>
        <v>46140</v>
      </c>
      <c r="E21" s="32">
        <f>SUM(E14:E19)</f>
        <v>51421</v>
      </c>
      <c r="F21" s="29"/>
      <c r="G21" s="29"/>
      <c r="H21" s="29"/>
      <c r="I21" s="29"/>
    </row>
    <row r="22" spans="1:9" ht="15.75" thickBot="1" x14ac:dyDescent="0.3">
      <c r="G22" s="1"/>
    </row>
    <row r="23" spans="1:9" ht="30" customHeight="1" thickBot="1" x14ac:dyDescent="0.3">
      <c r="A23" s="33" t="s">
        <v>18</v>
      </c>
      <c r="B23" s="34">
        <f>SUM(C11:E11,C21:E21)</f>
        <v>241039</v>
      </c>
      <c r="C23" s="30"/>
      <c r="D23" s="30"/>
      <c r="E23" s="30"/>
      <c r="F23" s="30"/>
      <c r="G23" s="30"/>
      <c r="H23" s="30"/>
      <c r="I23" s="30"/>
    </row>
  </sheetData>
  <mergeCells count="3">
    <mergeCell ref="A1:I1"/>
    <mergeCell ref="A11:B11"/>
    <mergeCell ref="A21:B21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D688-1B1C-439F-93CC-27603BB4EF79}">
  <dimension ref="A1:H18"/>
  <sheetViews>
    <sheetView workbookViewId="0">
      <selection activeCell="F22" sqref="F22"/>
    </sheetView>
  </sheetViews>
  <sheetFormatPr defaultRowHeight="15" x14ac:dyDescent="0.25"/>
  <cols>
    <col min="1" max="1" width="17.28515625" bestFit="1" customWidth="1"/>
    <col min="2" max="2" width="12.42578125" customWidth="1"/>
    <col min="3" max="3" width="13.140625" customWidth="1"/>
    <col min="4" max="4" width="11.42578125" customWidth="1"/>
    <col min="5" max="5" width="12.85546875" customWidth="1"/>
    <col min="6" max="6" width="13.140625" customWidth="1"/>
    <col min="7" max="7" width="10.5703125" bestFit="1" customWidth="1"/>
  </cols>
  <sheetData>
    <row r="1" spans="1:8" ht="15.75" thickBot="1" x14ac:dyDescent="0.3">
      <c r="A1" s="62" t="s">
        <v>19</v>
      </c>
      <c r="B1" s="63"/>
      <c r="C1" s="63"/>
      <c r="D1" s="63"/>
      <c r="E1" s="63"/>
      <c r="F1" s="63"/>
      <c r="G1" s="64"/>
    </row>
    <row r="2" spans="1:8" ht="15.75" thickBot="1" x14ac:dyDescent="0.3"/>
    <row r="3" spans="1:8" x14ac:dyDescent="0.25">
      <c r="A3" s="47"/>
      <c r="B3" s="65" t="s">
        <v>21</v>
      </c>
      <c r="C3" s="65" t="s">
        <v>22</v>
      </c>
      <c r="D3" s="65" t="s">
        <v>23</v>
      </c>
      <c r="E3" s="65" t="s">
        <v>24</v>
      </c>
      <c r="F3" s="65" t="s">
        <v>25</v>
      </c>
      <c r="G3" s="66" t="s">
        <v>26</v>
      </c>
    </row>
    <row r="4" spans="1:8" ht="15.75" thickBot="1" x14ac:dyDescent="0.3">
      <c r="A4" s="50" t="s">
        <v>20</v>
      </c>
      <c r="B4" s="51">
        <v>500</v>
      </c>
      <c r="C4" s="51">
        <v>750</v>
      </c>
      <c r="D4" s="51">
        <v>800</v>
      </c>
      <c r="E4" s="51">
        <v>700</v>
      </c>
      <c r="F4" s="51">
        <v>654</v>
      </c>
      <c r="G4" s="52">
        <v>700</v>
      </c>
      <c r="H4" s="40"/>
    </row>
    <row r="5" spans="1:8" ht="15.75" thickBot="1" x14ac:dyDescent="0.3">
      <c r="A5" s="41"/>
      <c r="B5" s="40"/>
      <c r="C5" s="40"/>
      <c r="D5" s="40"/>
      <c r="E5" s="40"/>
      <c r="F5" s="40"/>
      <c r="G5" s="42"/>
      <c r="H5" s="40"/>
    </row>
    <row r="6" spans="1:8" x14ac:dyDescent="0.25">
      <c r="A6" s="59" t="s">
        <v>27</v>
      </c>
      <c r="B6" s="48"/>
      <c r="C6" s="48"/>
      <c r="D6" s="48"/>
      <c r="E6" s="48"/>
      <c r="F6" s="48"/>
      <c r="G6" s="49"/>
      <c r="H6" s="40"/>
    </row>
    <row r="7" spans="1:8" x14ac:dyDescent="0.25">
      <c r="A7" s="60" t="s">
        <v>28</v>
      </c>
      <c r="B7" s="53">
        <v>10</v>
      </c>
      <c r="C7" s="53">
        <v>15</v>
      </c>
      <c r="D7" s="53">
        <v>15</v>
      </c>
      <c r="E7" s="53">
        <v>12</v>
      </c>
      <c r="F7" s="53">
        <v>12</v>
      </c>
      <c r="G7" s="54">
        <v>11</v>
      </c>
      <c r="H7" s="40"/>
    </row>
    <row r="8" spans="1:8" x14ac:dyDescent="0.25">
      <c r="A8" s="60" t="s">
        <v>29</v>
      </c>
      <c r="B8" s="55">
        <v>50</v>
      </c>
      <c r="C8" s="55">
        <v>60</v>
      </c>
      <c r="D8" s="55">
        <v>54</v>
      </c>
      <c r="E8" s="55">
        <v>55</v>
      </c>
      <c r="F8" s="55">
        <v>54</v>
      </c>
      <c r="G8" s="56">
        <v>56</v>
      </c>
      <c r="H8" s="40"/>
    </row>
    <row r="9" spans="1:8" x14ac:dyDescent="0.25">
      <c r="A9" s="60" t="s">
        <v>30</v>
      </c>
      <c r="B9" s="53">
        <v>300</v>
      </c>
      <c r="C9" s="53">
        <v>250</v>
      </c>
      <c r="D9" s="53">
        <v>300</v>
      </c>
      <c r="E9" s="53">
        <v>300</v>
      </c>
      <c r="F9" s="53">
        <v>200</v>
      </c>
      <c r="G9" s="54">
        <v>200</v>
      </c>
      <c r="H9" s="40"/>
    </row>
    <row r="10" spans="1:8" x14ac:dyDescent="0.25">
      <c r="A10" s="60" t="s">
        <v>31</v>
      </c>
      <c r="B10" s="55">
        <v>40</v>
      </c>
      <c r="C10" s="55">
        <v>40</v>
      </c>
      <c r="D10" s="55">
        <v>40</v>
      </c>
      <c r="E10" s="55">
        <v>40</v>
      </c>
      <c r="F10" s="55">
        <v>40</v>
      </c>
      <c r="G10" s="56">
        <v>40</v>
      </c>
      <c r="H10" s="40"/>
    </row>
    <row r="11" spans="1:8" x14ac:dyDescent="0.25">
      <c r="A11" s="60" t="s">
        <v>32</v>
      </c>
      <c r="B11" s="53">
        <v>10</v>
      </c>
      <c r="C11" s="53">
        <v>15</v>
      </c>
      <c r="D11" s="53">
        <v>15</v>
      </c>
      <c r="E11" s="53">
        <v>15</v>
      </c>
      <c r="F11" s="53">
        <v>20</v>
      </c>
      <c r="G11" s="54">
        <v>31</v>
      </c>
      <c r="H11" s="40"/>
    </row>
    <row r="12" spans="1:8" x14ac:dyDescent="0.25">
      <c r="A12" s="60" t="s">
        <v>33</v>
      </c>
      <c r="B12" s="55">
        <v>120</v>
      </c>
      <c r="C12" s="55">
        <v>150</v>
      </c>
      <c r="D12" s="55">
        <v>150</v>
      </c>
      <c r="E12" s="55">
        <v>200</v>
      </c>
      <c r="F12" s="55">
        <v>150</v>
      </c>
      <c r="G12" s="56">
        <v>190</v>
      </c>
      <c r="H12" s="40"/>
    </row>
    <row r="13" spans="1:8" x14ac:dyDescent="0.25">
      <c r="A13" s="60" t="s">
        <v>34</v>
      </c>
      <c r="B13" s="53">
        <v>50</v>
      </c>
      <c r="C13" s="53">
        <v>60</v>
      </c>
      <c r="D13" s="53">
        <v>60</v>
      </c>
      <c r="E13" s="53">
        <v>70</v>
      </c>
      <c r="F13" s="53">
        <v>65</v>
      </c>
      <c r="G13" s="54">
        <v>85</v>
      </c>
      <c r="H13" s="40"/>
    </row>
    <row r="14" spans="1:8" ht="15.75" thickBot="1" x14ac:dyDescent="0.3">
      <c r="A14" s="61" t="s">
        <v>35</v>
      </c>
      <c r="B14" s="57">
        <v>145</v>
      </c>
      <c r="C14" s="57">
        <v>145</v>
      </c>
      <c r="D14" s="57">
        <v>145</v>
      </c>
      <c r="E14" s="57">
        <v>145</v>
      </c>
      <c r="F14" s="57">
        <v>100</v>
      </c>
      <c r="G14" s="58">
        <v>145</v>
      </c>
      <c r="H14" s="40"/>
    </row>
    <row r="15" spans="1:8" ht="15.75" thickBot="1" x14ac:dyDescent="0.3"/>
    <row r="16" spans="1:8" ht="15.75" thickBot="1" x14ac:dyDescent="0.3">
      <c r="A16" s="67" t="s">
        <v>36</v>
      </c>
      <c r="B16" s="68">
        <f>SUM(B7:B14)</f>
        <v>725</v>
      </c>
      <c r="C16" s="68">
        <f>SUM(C7:C14)</f>
        <v>735</v>
      </c>
      <c r="D16" s="68">
        <f t="shared" ref="D16:G16" si="0">SUM(D7:D14)</f>
        <v>779</v>
      </c>
      <c r="E16" s="68">
        <f t="shared" si="0"/>
        <v>837</v>
      </c>
      <c r="F16" s="68">
        <f t="shared" si="0"/>
        <v>641</v>
      </c>
      <c r="G16" s="68">
        <f t="shared" si="0"/>
        <v>758</v>
      </c>
    </row>
    <row r="17" spans="1:7" ht="15.75" thickBot="1" x14ac:dyDescent="0.3"/>
    <row r="18" spans="1:7" ht="15.75" thickBot="1" x14ac:dyDescent="0.3">
      <c r="A18" s="67" t="s">
        <v>37</v>
      </c>
      <c r="B18" s="68">
        <f>B4-B16</f>
        <v>-225</v>
      </c>
      <c r="C18" s="68">
        <f t="shared" ref="C18:G18" si="1">C4-C16</f>
        <v>15</v>
      </c>
      <c r="D18" s="68">
        <f t="shared" si="1"/>
        <v>21</v>
      </c>
      <c r="E18" s="68">
        <f t="shared" si="1"/>
        <v>-137</v>
      </c>
      <c r="F18" s="68">
        <f t="shared" si="1"/>
        <v>13</v>
      </c>
      <c r="G18" s="68">
        <f t="shared" si="1"/>
        <v>-58</v>
      </c>
    </row>
  </sheetData>
  <mergeCells count="1">
    <mergeCell ref="A1:G1"/>
  </mergeCells>
  <phoneticPr fontId="4" type="noConversion"/>
  <conditionalFormatting sqref="B18:G18">
    <cfRule type="cellIs" dxfId="11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0370-4A5C-43BB-9191-7D6B8EEF47ED}">
  <dimension ref="A1:J11"/>
  <sheetViews>
    <sheetView tabSelected="1" workbookViewId="0">
      <selection activeCell="H14" sqref="H14"/>
    </sheetView>
  </sheetViews>
  <sheetFormatPr defaultRowHeight="15" x14ac:dyDescent="0.25"/>
  <cols>
    <col min="1" max="1" width="5.5703125" customWidth="1"/>
    <col min="2" max="2" width="9.85546875" bestFit="1" customWidth="1"/>
    <col min="3" max="3" width="14.42578125" customWidth="1"/>
    <col min="5" max="5" width="13.7109375" customWidth="1"/>
    <col min="6" max="6" width="9.7109375" customWidth="1"/>
    <col min="7" max="7" width="16.28515625" customWidth="1"/>
    <col min="8" max="8" width="16.140625" customWidth="1"/>
    <col min="10" max="10" width="10.5703125" bestFit="1" customWidth="1"/>
  </cols>
  <sheetData>
    <row r="1" spans="1:10" ht="17.25" customHeight="1" thickBot="1" x14ac:dyDescent="0.3">
      <c r="A1" s="74" t="s">
        <v>38</v>
      </c>
      <c r="B1" s="75"/>
      <c r="C1" s="75"/>
      <c r="D1" s="75"/>
      <c r="E1" s="75"/>
      <c r="F1" s="75"/>
      <c r="G1" s="75"/>
      <c r="H1" s="76"/>
    </row>
    <row r="3" spans="1:10" x14ac:dyDescent="0.25">
      <c r="A3" s="78" t="s">
        <v>39</v>
      </c>
      <c r="B3" s="79" t="s">
        <v>40</v>
      </c>
      <c r="C3" s="79" t="s">
        <v>41</v>
      </c>
      <c r="D3" s="79" t="s">
        <v>42</v>
      </c>
      <c r="E3" s="80" t="s">
        <v>43</v>
      </c>
      <c r="F3" s="79" t="s">
        <v>44</v>
      </c>
      <c r="G3" s="78" t="s">
        <v>45</v>
      </c>
      <c r="H3" s="80" t="s">
        <v>46</v>
      </c>
    </row>
    <row r="4" spans="1:10" x14ac:dyDescent="0.25">
      <c r="A4" s="77">
        <v>1</v>
      </c>
      <c r="B4" s="2" t="s">
        <v>47</v>
      </c>
      <c r="C4" s="43">
        <v>853</v>
      </c>
      <c r="D4" s="70">
        <v>0.1</v>
      </c>
      <c r="E4" s="72">
        <v>0.09</v>
      </c>
      <c r="F4" s="73">
        <f>PRODUCT(C4,D4)</f>
        <v>85.300000000000011</v>
      </c>
      <c r="G4" s="85">
        <f>PRODUCT(Tabela5[[#This Row],[Salário Bruto]],Tabela5[[#This Row],[Gratificação]])</f>
        <v>76.77</v>
      </c>
      <c r="H4" s="44">
        <f>SUM(Tabela5[[#This Row],[Salário Bruto]],Tabela5[[#This Row],[Gratificação R$]]) - Tabela5[[#This Row],[INSS R$]]</f>
        <v>844.47</v>
      </c>
      <c r="J4" s="69"/>
    </row>
    <row r="5" spans="1:10" x14ac:dyDescent="0.25">
      <c r="A5" s="77">
        <v>2</v>
      </c>
      <c r="B5" s="2" t="s">
        <v>48</v>
      </c>
      <c r="C5" s="43">
        <v>951</v>
      </c>
      <c r="D5" s="70">
        <v>9.9900000000000003E-2</v>
      </c>
      <c r="E5" s="72">
        <v>0.08</v>
      </c>
      <c r="F5" s="71">
        <f t="shared" ref="F5:F11" si="0">PRODUCT(C5,D5)</f>
        <v>95.004900000000006</v>
      </c>
      <c r="G5" s="85">
        <f>PRODUCT(Tabela5[[#This Row],[Salário Bruto]],Tabela5[[#This Row],[Gratificação]])</f>
        <v>76.08</v>
      </c>
      <c r="H5" s="44">
        <f>SUM(Tabela5[[#This Row],[Salário Bruto]],Tabela5[[#This Row],[Gratificação R$]]) - Tabela5[[#This Row],[INSS R$]]</f>
        <v>932.07509999999991</v>
      </c>
    </row>
    <row r="6" spans="1:10" x14ac:dyDescent="0.25">
      <c r="A6" s="77">
        <v>3</v>
      </c>
      <c r="B6" s="2" t="s">
        <v>49</v>
      </c>
      <c r="C6" s="43">
        <v>456</v>
      </c>
      <c r="D6" s="70">
        <v>8.6400000000000005E-2</v>
      </c>
      <c r="E6" s="72">
        <v>0.06</v>
      </c>
      <c r="F6" s="71">
        <f t="shared" si="0"/>
        <v>39.398400000000002</v>
      </c>
      <c r="G6" s="85">
        <f>PRODUCT(Tabela5[[#This Row],[Salário Bruto]],Tabela5[[#This Row],[Gratificação]])</f>
        <v>27.36</v>
      </c>
      <c r="H6" s="44">
        <f>SUM(Tabela5[[#This Row],[Salário Bruto]],Tabela5[[#This Row],[Gratificação R$]]) - Tabela5[[#This Row],[INSS R$]]</f>
        <v>443.96160000000003</v>
      </c>
    </row>
    <row r="7" spans="1:10" x14ac:dyDescent="0.25">
      <c r="A7" s="77">
        <v>4</v>
      </c>
      <c r="B7" s="2" t="s">
        <v>50</v>
      </c>
      <c r="C7" s="43">
        <v>500</v>
      </c>
      <c r="D7" s="70">
        <v>8.5000000000000006E-2</v>
      </c>
      <c r="E7" s="72">
        <v>0.06</v>
      </c>
      <c r="F7" s="71">
        <f t="shared" si="0"/>
        <v>42.5</v>
      </c>
      <c r="G7" s="85">
        <f>PRODUCT(Tabela5[[#This Row],[Salário Bruto]],Tabela5[[#This Row],[Gratificação]])</f>
        <v>30</v>
      </c>
      <c r="H7" s="44">
        <f>SUM(Tabela5[[#This Row],[Salário Bruto]],Tabela5[[#This Row],[Gratificação R$]]) - Tabela5[[#This Row],[INSS R$]]</f>
        <v>487.5</v>
      </c>
    </row>
    <row r="8" spans="1:10" x14ac:dyDescent="0.25">
      <c r="A8" s="77">
        <v>5</v>
      </c>
      <c r="B8" s="2" t="s">
        <v>51</v>
      </c>
      <c r="C8" s="43">
        <v>850</v>
      </c>
      <c r="D8" s="70">
        <v>8.9899999999999994E-2</v>
      </c>
      <c r="E8" s="72">
        <v>7.0000000000000007E-2</v>
      </c>
      <c r="F8" s="71">
        <f t="shared" si="0"/>
        <v>76.414999999999992</v>
      </c>
      <c r="G8" s="85">
        <f>PRODUCT(Tabela5[[#This Row],[Salário Bruto]],Tabela5[[#This Row],[Gratificação]])</f>
        <v>59.500000000000007</v>
      </c>
      <c r="H8" s="44">
        <f>SUM(Tabela5[[#This Row],[Salário Bruto]],Tabela5[[#This Row],[Gratificação R$]]) - Tabela5[[#This Row],[INSS R$]]</f>
        <v>833.08500000000004</v>
      </c>
    </row>
    <row r="9" spans="1:10" x14ac:dyDescent="0.25">
      <c r="A9" s="77">
        <v>6</v>
      </c>
      <c r="B9" s="2" t="s">
        <v>52</v>
      </c>
      <c r="C9" s="43">
        <v>459</v>
      </c>
      <c r="D9" s="70">
        <v>6.25E-2</v>
      </c>
      <c r="E9" s="72">
        <v>0.05</v>
      </c>
      <c r="F9" s="71">
        <f t="shared" si="0"/>
        <v>28.6875</v>
      </c>
      <c r="G9" s="85">
        <f>PRODUCT(Tabela5[[#This Row],[Salário Bruto]],Tabela5[[#This Row],[Gratificação]])</f>
        <v>22.950000000000003</v>
      </c>
      <c r="H9" s="44">
        <f>SUM(Tabela5[[#This Row],[Salário Bruto]],Tabela5[[#This Row],[Gratificação R$]]) - Tabela5[[#This Row],[INSS R$]]</f>
        <v>453.26249999999999</v>
      </c>
    </row>
    <row r="10" spans="1:10" x14ac:dyDescent="0.25">
      <c r="A10" s="77">
        <v>7</v>
      </c>
      <c r="B10" s="2" t="s">
        <v>53</v>
      </c>
      <c r="C10" s="43">
        <v>478</v>
      </c>
      <c r="D10" s="70">
        <v>7.1199999999999999E-2</v>
      </c>
      <c r="E10" s="72">
        <v>0.05</v>
      </c>
      <c r="F10" s="71">
        <f t="shared" si="0"/>
        <v>34.0336</v>
      </c>
      <c r="G10" s="85">
        <f>PRODUCT(Tabela5[[#This Row],[Salário Bruto]],Tabela5[[#This Row],[Gratificação]])</f>
        <v>23.900000000000002</v>
      </c>
      <c r="H10" s="44">
        <f>SUM(Tabela5[[#This Row],[Salário Bruto]],Tabela5[[#This Row],[Gratificação R$]]) - Tabela5[[#This Row],[INSS R$]]</f>
        <v>467.8664</v>
      </c>
    </row>
    <row r="11" spans="1:10" x14ac:dyDescent="0.25">
      <c r="A11" s="81">
        <v>8</v>
      </c>
      <c r="B11" s="6" t="s">
        <v>54</v>
      </c>
      <c r="C11" s="45">
        <v>658</v>
      </c>
      <c r="D11" s="82">
        <v>5.9900000000000002E-2</v>
      </c>
      <c r="E11" s="83">
        <v>0.04</v>
      </c>
      <c r="F11" s="84">
        <f t="shared" si="0"/>
        <v>39.414200000000001</v>
      </c>
      <c r="G11" s="86">
        <f>PRODUCT(Tabela5[[#This Row],[Salário Bruto]],Tabela5[[#This Row],[Gratificação]])</f>
        <v>26.32</v>
      </c>
      <c r="H11" s="46">
        <f>SUM(Tabela5[[#This Row],[Salário Bruto]],Tabela5[[#This Row],[Gratificação R$]]) - Tabela5[[#This Row],[INSS R$]]</f>
        <v>644.9058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</cp:lastModifiedBy>
  <dcterms:created xsi:type="dcterms:W3CDTF">2026-03-11T19:01:16Z</dcterms:created>
  <dcterms:modified xsi:type="dcterms:W3CDTF">2026-03-12T04:34:01Z</dcterms:modified>
</cp:coreProperties>
</file>