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\Desktop\Pratica-excel\imersao-alura-excel\"/>
    </mc:Choice>
  </mc:AlternateContent>
  <xr:revisionPtr revIDLastSave="0" documentId="13_ncr:1_{192097BA-3212-4D7D-90AB-A2974E97E8B0}" xr6:coauthVersionLast="47" xr6:coauthVersionMax="47" xr10:uidLastSave="{00000000-0000-0000-0000-000000000000}"/>
  <bookViews>
    <workbookView xWindow="-120" yWindow="-120" windowWidth="29040" windowHeight="15840" activeTab="1" xr2:uid="{C847CDFA-E0DF-4917-A31F-8846AD2C97B4}"/>
  </bookViews>
  <sheets>
    <sheet name="Planilha1" sheetId="1" r:id="rId1"/>
    <sheet name="Formatado como tabe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2" l="1"/>
  <c r="F10" i="2"/>
  <c r="D10" i="2"/>
  <c r="G4" i="2"/>
  <c r="G5" i="2"/>
  <c r="G6" i="2"/>
  <c r="G7" i="2"/>
  <c r="G8" i="2"/>
  <c r="G9" i="2"/>
  <c r="F4" i="2"/>
  <c r="F5" i="2"/>
  <c r="F6" i="2"/>
  <c r="F7" i="2"/>
  <c r="F8" i="2"/>
  <c r="F9" i="2"/>
  <c r="G10" i="1"/>
  <c r="G5" i="1"/>
  <c r="G6" i="1"/>
  <c r="G7" i="1"/>
  <c r="G8" i="1"/>
  <c r="G9" i="1"/>
  <c r="G4" i="1"/>
  <c r="F10" i="1"/>
  <c r="F5" i="1"/>
  <c r="F6" i="1"/>
  <c r="F7" i="1"/>
  <c r="F8" i="1"/>
  <c r="F9" i="1"/>
  <c r="F4" i="1"/>
  <c r="E10" i="2"/>
  <c r="E10" i="1"/>
  <c r="D10" i="1"/>
</calcChain>
</file>

<file path=xl/sharedStrings.xml><?xml version="1.0" encoding="utf-8"?>
<sst xmlns="http://schemas.openxmlformats.org/spreadsheetml/2006/main" count="56" uniqueCount="19">
  <si>
    <t>Meteora</t>
  </si>
  <si>
    <t>Produtos</t>
  </si>
  <si>
    <t>Tamanho</t>
  </si>
  <si>
    <t>Categoria</t>
  </si>
  <si>
    <t>Preço Unitário</t>
  </si>
  <si>
    <t>Qtd</t>
  </si>
  <si>
    <t>Camiseta Lisa</t>
  </si>
  <si>
    <t>Óculos</t>
  </si>
  <si>
    <t>Jaqueta</t>
  </si>
  <si>
    <t>P</t>
  </si>
  <si>
    <t>M</t>
  </si>
  <si>
    <t>G</t>
  </si>
  <si>
    <t>Único</t>
  </si>
  <si>
    <t>Vestuário</t>
  </si>
  <si>
    <t>Total</t>
  </si>
  <si>
    <t>Valor Total</t>
  </si>
  <si>
    <t>Totais</t>
  </si>
  <si>
    <t>Desconto</t>
  </si>
  <si>
    <t>Valor de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</si>
</sst>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FF1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1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5" xfId="0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3" fillId="2" borderId="20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9" fontId="3" fillId="2" borderId="16" xfId="0" applyNumberFormat="1" applyFont="1" applyFill="1" applyBorder="1" applyAlignment="1">
      <alignment horizontal="center"/>
    </xf>
    <xf numFmtId="9" fontId="3" fillId="2" borderId="10" xfId="0" applyNumberFormat="1" applyFont="1" applyFill="1" applyBorder="1" applyAlignment="1">
      <alignment horizontal="center"/>
    </xf>
    <xf numFmtId="9" fontId="3" fillId="2" borderId="11" xfId="0" applyNumberFormat="1" applyFont="1" applyFill="1" applyBorder="1" applyAlignment="1">
      <alignment horizontal="center"/>
    </xf>
    <xf numFmtId="44" fontId="0" fillId="0" borderId="13" xfId="0" applyNumberFormat="1" applyBorder="1"/>
    <xf numFmtId="44" fontId="0" fillId="0" borderId="1" xfId="0" applyNumberFormat="1" applyBorder="1"/>
    <xf numFmtId="44" fontId="0" fillId="0" borderId="18" xfId="0" applyNumberFormat="1" applyBorder="1"/>
    <xf numFmtId="44" fontId="3" fillId="2" borderId="21" xfId="0" applyNumberFormat="1" applyFont="1" applyFill="1" applyBorder="1"/>
    <xf numFmtId="44" fontId="3" fillId="2" borderId="20" xfId="0" applyNumberFormat="1" applyFont="1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4" borderId="6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/>
    </xf>
    <xf numFmtId="44" fontId="0" fillId="2" borderId="10" xfId="0" applyNumberFormat="1" applyFill="1" applyBorder="1"/>
    <xf numFmtId="0" fontId="0" fillId="2" borderId="11" xfId="0" applyFill="1" applyBorder="1" applyAlignment="1">
      <alignment horizontal="center" vertical="center"/>
    </xf>
    <xf numFmtId="44" fontId="0" fillId="2" borderId="11" xfId="0" applyNumberFormat="1" applyFill="1" applyBorder="1"/>
    <xf numFmtId="9" fontId="3" fillId="2" borderId="7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44" fontId="0" fillId="0" borderId="14" xfId="0" applyNumberFormat="1" applyBorder="1"/>
    <xf numFmtId="44" fontId="0" fillId="0" borderId="25" xfId="0" applyNumberFormat="1" applyBorder="1"/>
    <xf numFmtId="44" fontId="0" fillId="0" borderId="26" xfId="0" applyNumberFormat="1" applyBorder="1"/>
  </cellXfs>
  <cellStyles count="1">
    <cellStyle name="Normal" xfId="0" builtinId="0"/>
  </cellStyles>
  <dxfs count="17">
    <dxf>
      <numFmt numFmtId="34" formatCode="_-&quot;R$&quot;\ * #,##0.00_-;\-&quot;R$&quot;\ * #,##0.00_-;_-&quot;R$&quot;\ * &quot;-&quot;??_-;_-@_-"/>
      <fill>
        <patternFill patternType="solid">
          <fgColor indexed="64"/>
          <bgColor rgb="FFD8FF1F"/>
        </patternFill>
      </fill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8FF1F"/>
        </patternFill>
      </fill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D8FF1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rgb="FFD8FF1F"/>
        </patternFill>
      </fill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34" formatCode="_-&quot;R$&quot;\ * #,##0.00_-;\-&quot;R$&quot;\ * #,##0.00_-;_-&quot;R$&quot;\ * &quot;-&quot;??_-;_-@_-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D8FF1F"/>
      <color rgb="FFEAEF19"/>
      <color rgb="FFDEF16F"/>
      <color rgb="FFCDEA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73A85-5EBB-4DB6-8DBD-E10BA2578492}" name="Tabela1" displayName="Tabela1" ref="A3:G10" totalsRowCount="1" headerRowDxfId="16" headerRowBorderDxfId="15" totalsRowBorderDxfId="14">
  <autoFilter ref="A3:G9" xr:uid="{F9173A85-5EBB-4DB6-8DBD-E10BA2578492}"/>
  <tableColumns count="7">
    <tableColumn id="1" xr3:uid="{FCD5F8CE-D88B-45E4-B2AC-D34DBE0946CD}" name="Produtos" totalsRowLabel="Total" dataDxfId="13" totalsRowDxfId="6"/>
    <tableColumn id="2" xr3:uid="{6AC736D9-EC0F-424B-969B-7C50C3E129D7}" name="Tamanho" dataDxfId="12" totalsRowDxfId="5"/>
    <tableColumn id="3" xr3:uid="{796B1572-CAB3-4B9B-BB01-01720CA00727}" name="Categoria" dataDxfId="11" totalsRowDxfId="4"/>
    <tableColumn id="4" xr3:uid="{42A1C087-E036-4F0E-874E-47C2539DF67B}" name="Preço Unitário" totalsRowFunction="sum" dataDxfId="10" totalsRowDxfId="3"/>
    <tableColumn id="5" xr3:uid="{D0C93430-4458-4E8B-8DFD-3816E246B11A}" name="Qtd" totalsRowFunction="sum" dataDxfId="9" totalsRowDxfId="2"/>
    <tableColumn id="6" xr3:uid="{8CC95E15-A573-4733-BBCB-FE2B89FF2CDC}" name="Valor Total" totalsRowFunction="sum" dataDxfId="8" totalsRowDxfId="1">
      <calculatedColumnFormula>PRODUCT(Tabela1[[#This Row],[Preço Unitário]],Tabela1[[#This Row],[Qtd]])</calculatedColumnFormula>
    </tableColumn>
    <tableColumn id="7" xr3:uid="{95CBF067-00A9-4DA1-B495-CEFA1C492222}" name="Valor de Desconto" totalsRowFunction="sum" dataDxfId="7" totalsRowDxfId="0">
      <calculatedColumnFormula>PRODUCT($D$11,Tabela1[[#This Row],[Valor Total]])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FC56-03B0-47D4-A57D-716DA805C0B6}">
  <dimension ref="A1:G11"/>
  <sheetViews>
    <sheetView workbookViewId="0">
      <selection activeCell="G29" sqref="G29"/>
    </sheetView>
  </sheetViews>
  <sheetFormatPr defaultRowHeight="15" x14ac:dyDescent="0.25"/>
  <cols>
    <col min="1" max="1" width="15.85546875" customWidth="1"/>
    <col min="2" max="2" width="11" customWidth="1"/>
    <col min="3" max="3" width="11.5703125" customWidth="1"/>
    <col min="4" max="4" width="15.28515625" customWidth="1"/>
    <col min="5" max="5" width="6.140625" customWidth="1"/>
    <col min="6" max="6" width="15.28515625" customWidth="1"/>
    <col min="7" max="7" width="18.140625" bestFit="1" customWidth="1"/>
  </cols>
  <sheetData>
    <row r="1" spans="1:7" ht="18.75" x14ac:dyDescent="0.3">
      <c r="A1" s="23" t="s">
        <v>0</v>
      </c>
      <c r="B1" s="23"/>
      <c r="C1" s="23"/>
      <c r="D1" s="23"/>
      <c r="E1" s="23"/>
      <c r="F1" s="23"/>
      <c r="G1" s="23"/>
    </row>
    <row r="2" spans="1:7" ht="2.25" customHeight="1" thickBot="1" x14ac:dyDescent="0.35">
      <c r="A2" s="3"/>
      <c r="B2" s="3"/>
      <c r="C2" s="3"/>
      <c r="D2" s="3"/>
      <c r="E2" s="3"/>
      <c r="F2" s="3"/>
      <c r="G2" s="3"/>
    </row>
    <row r="3" spans="1:7" ht="16.5" thickBot="1" x14ac:dyDescent="0.3">
      <c r="A3" s="14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6" t="s">
        <v>15</v>
      </c>
      <c r="G3" s="16" t="s">
        <v>18</v>
      </c>
    </row>
    <row r="4" spans="1:7" x14ac:dyDescent="0.25">
      <c r="A4" s="7" t="s">
        <v>6</v>
      </c>
      <c r="B4" s="8" t="s">
        <v>9</v>
      </c>
      <c r="C4" s="9" t="s">
        <v>13</v>
      </c>
      <c r="D4" s="27">
        <v>25.9</v>
      </c>
      <c r="E4" s="8">
        <v>12</v>
      </c>
      <c r="F4" s="27">
        <f>PRODUCT(D4,E4)</f>
        <v>310.79999999999995</v>
      </c>
      <c r="G4" s="27">
        <f>PRODUCT($D$11,F4)</f>
        <v>15.54</v>
      </c>
    </row>
    <row r="5" spans="1:7" x14ac:dyDescent="0.25">
      <c r="A5" s="2" t="s">
        <v>6</v>
      </c>
      <c r="B5" s="4" t="s">
        <v>10</v>
      </c>
      <c r="C5" s="1" t="s">
        <v>13</v>
      </c>
      <c r="D5" s="28">
        <v>29.9</v>
      </c>
      <c r="E5" s="4">
        <v>10</v>
      </c>
      <c r="F5" s="28">
        <f t="shared" ref="F5:F9" si="0">PRODUCT(D5,E5)</f>
        <v>299</v>
      </c>
      <c r="G5" s="28">
        <f t="shared" ref="G5:G9" si="1">PRODUCT($D$11,F5)</f>
        <v>14.950000000000001</v>
      </c>
    </row>
    <row r="6" spans="1:7" x14ac:dyDescent="0.25">
      <c r="A6" s="2" t="s">
        <v>6</v>
      </c>
      <c r="B6" s="4" t="s">
        <v>11</v>
      </c>
      <c r="C6" s="1" t="s">
        <v>13</v>
      </c>
      <c r="D6" s="28">
        <v>32.9</v>
      </c>
      <c r="E6" s="4">
        <v>6</v>
      </c>
      <c r="F6" s="28">
        <f t="shared" si="0"/>
        <v>197.39999999999998</v>
      </c>
      <c r="G6" s="28">
        <f t="shared" si="1"/>
        <v>9.8699999999999992</v>
      </c>
    </row>
    <row r="7" spans="1:7" x14ac:dyDescent="0.25">
      <c r="A7" s="2" t="s">
        <v>7</v>
      </c>
      <c r="B7" s="4" t="s">
        <v>12</v>
      </c>
      <c r="C7" s="1" t="s">
        <v>13</v>
      </c>
      <c r="D7" s="28">
        <v>399.9</v>
      </c>
      <c r="E7" s="4">
        <v>3</v>
      </c>
      <c r="F7" s="28">
        <f t="shared" si="0"/>
        <v>1199.6999999999998</v>
      </c>
      <c r="G7" s="28">
        <f t="shared" si="1"/>
        <v>59.984999999999992</v>
      </c>
    </row>
    <row r="8" spans="1:7" x14ac:dyDescent="0.25">
      <c r="A8" s="2" t="s">
        <v>8</v>
      </c>
      <c r="B8" s="4" t="s">
        <v>9</v>
      </c>
      <c r="C8" s="1" t="s">
        <v>13</v>
      </c>
      <c r="D8" s="28">
        <v>249.9</v>
      </c>
      <c r="E8" s="4">
        <v>1</v>
      </c>
      <c r="F8" s="28">
        <f t="shared" si="0"/>
        <v>249.9</v>
      </c>
      <c r="G8" s="28">
        <f t="shared" si="1"/>
        <v>12.495000000000001</v>
      </c>
    </row>
    <row r="9" spans="1:7" ht="15.75" thickBot="1" x14ac:dyDescent="0.3">
      <c r="A9" s="10" t="s">
        <v>8</v>
      </c>
      <c r="B9" s="11" t="s">
        <v>10</v>
      </c>
      <c r="C9" s="12" t="s">
        <v>13</v>
      </c>
      <c r="D9" s="29">
        <v>259.89999999999998</v>
      </c>
      <c r="E9" s="11">
        <v>2</v>
      </c>
      <c r="F9" s="29">
        <f t="shared" si="0"/>
        <v>519.79999999999995</v>
      </c>
      <c r="G9" s="29">
        <f t="shared" si="1"/>
        <v>25.99</v>
      </c>
    </row>
    <row r="10" spans="1:7" ht="16.5" thickBot="1" x14ac:dyDescent="0.3">
      <c r="A10" s="17" t="s">
        <v>16</v>
      </c>
      <c r="B10" s="18"/>
      <c r="C10" s="19"/>
      <c r="D10" s="31">
        <f>SUM(D4:D9)</f>
        <v>998.4</v>
      </c>
      <c r="E10" s="13">
        <f>SUM(E4:E9)</f>
        <v>34</v>
      </c>
      <c r="F10" s="30">
        <f>SUM(F4:F9)</f>
        <v>2776.5999999999995</v>
      </c>
      <c r="G10" s="30">
        <f>SUM(G4:G9)</f>
        <v>138.83000000000001</v>
      </c>
    </row>
    <row r="11" spans="1:7" ht="16.5" thickBot="1" x14ac:dyDescent="0.3">
      <c r="A11" s="20" t="s">
        <v>17</v>
      </c>
      <c r="B11" s="21"/>
      <c r="C11" s="22"/>
      <c r="D11" s="24">
        <v>0.05</v>
      </c>
      <c r="E11" s="25"/>
      <c r="F11" s="25"/>
      <c r="G11" s="26"/>
    </row>
  </sheetData>
  <mergeCells count="4">
    <mergeCell ref="A10:C10"/>
    <mergeCell ref="A11:C11"/>
    <mergeCell ref="A1:G1"/>
    <mergeCell ref="D11:G1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1D1E-4A2F-47BF-AB6D-68B9A544078F}">
  <dimension ref="A1:G11"/>
  <sheetViews>
    <sheetView tabSelected="1" workbookViewId="0">
      <selection activeCell="E27" sqref="E27"/>
    </sheetView>
  </sheetViews>
  <sheetFormatPr defaultRowHeight="15" x14ac:dyDescent="0.25"/>
  <cols>
    <col min="1" max="2" width="13.7109375" bestFit="1" customWidth="1"/>
    <col min="3" max="3" width="14.28515625" bestFit="1" customWidth="1"/>
    <col min="4" max="4" width="18.42578125" bestFit="1" customWidth="1"/>
    <col min="5" max="5" width="8.85546875" bestFit="1" customWidth="1"/>
    <col min="6" max="6" width="15" bestFit="1" customWidth="1"/>
    <col min="7" max="7" width="22.28515625" bestFit="1" customWidth="1"/>
  </cols>
  <sheetData>
    <row r="1" spans="1:7" ht="18.75" x14ac:dyDescent="0.3">
      <c r="A1" s="23" t="s">
        <v>0</v>
      </c>
      <c r="B1" s="23"/>
      <c r="C1" s="23"/>
      <c r="D1" s="23"/>
      <c r="E1" s="23"/>
      <c r="F1" s="23"/>
      <c r="G1" s="23"/>
    </row>
    <row r="2" spans="1:7" ht="1.5" customHeight="1" thickBot="1" x14ac:dyDescent="0.3">
      <c r="A2" s="5"/>
      <c r="B2" s="5"/>
      <c r="C2" s="5"/>
      <c r="D2" s="5"/>
      <c r="E2" s="5"/>
    </row>
    <row r="3" spans="1:7" ht="15.75" thickBot="1" x14ac:dyDescent="0.3">
      <c r="A3" s="32" t="s">
        <v>1</v>
      </c>
      <c r="B3" s="33" t="s">
        <v>2</v>
      </c>
      <c r="C3" s="33" t="s">
        <v>3</v>
      </c>
      <c r="D3" s="33" t="s">
        <v>4</v>
      </c>
      <c r="E3" s="6" t="s">
        <v>5</v>
      </c>
      <c r="F3" s="33" t="s">
        <v>15</v>
      </c>
      <c r="G3" s="6" t="s">
        <v>18</v>
      </c>
    </row>
    <row r="4" spans="1:7" x14ac:dyDescent="0.25">
      <c r="A4" s="7" t="s">
        <v>6</v>
      </c>
      <c r="B4" s="8" t="s">
        <v>9</v>
      </c>
      <c r="C4" s="9" t="s">
        <v>13</v>
      </c>
      <c r="D4" s="27">
        <v>25.9</v>
      </c>
      <c r="E4" s="35">
        <v>12</v>
      </c>
      <c r="F4" s="27">
        <f>PRODUCT(Tabela1[[#This Row],[Preço Unitário]],Tabela1[[#This Row],[Qtd]])</f>
        <v>310.79999999999995</v>
      </c>
      <c r="G4" s="47">
        <f>PRODUCT($D$11,Tabela1[[#This Row],[Valor Total]])</f>
        <v>15.54</v>
      </c>
    </row>
    <row r="5" spans="1:7" x14ac:dyDescent="0.25">
      <c r="A5" s="2" t="s">
        <v>6</v>
      </c>
      <c r="B5" s="4" t="s">
        <v>10</v>
      </c>
      <c r="C5" s="1" t="s">
        <v>13</v>
      </c>
      <c r="D5" s="28">
        <v>29.9</v>
      </c>
      <c r="E5" s="34">
        <v>10</v>
      </c>
      <c r="F5" s="28">
        <f>PRODUCT(Tabela1[[#This Row],[Preço Unitário]],Tabela1[[#This Row],[Qtd]])</f>
        <v>299</v>
      </c>
      <c r="G5" s="48">
        <f>PRODUCT($D$11,Tabela1[[#This Row],[Valor Total]])</f>
        <v>14.950000000000001</v>
      </c>
    </row>
    <row r="6" spans="1:7" x14ac:dyDescent="0.25">
      <c r="A6" s="2" t="s">
        <v>6</v>
      </c>
      <c r="B6" s="4" t="s">
        <v>11</v>
      </c>
      <c r="C6" s="1" t="s">
        <v>13</v>
      </c>
      <c r="D6" s="28">
        <v>32.9</v>
      </c>
      <c r="E6" s="34">
        <v>6</v>
      </c>
      <c r="F6" s="28">
        <f>PRODUCT(Tabela1[[#This Row],[Preço Unitário]],Tabela1[[#This Row],[Qtd]])</f>
        <v>197.39999999999998</v>
      </c>
      <c r="G6" s="48">
        <f>PRODUCT($D$11,Tabela1[[#This Row],[Valor Total]])</f>
        <v>9.8699999999999992</v>
      </c>
    </row>
    <row r="7" spans="1:7" x14ac:dyDescent="0.25">
      <c r="A7" s="2" t="s">
        <v>7</v>
      </c>
      <c r="B7" s="4" t="s">
        <v>12</v>
      </c>
      <c r="C7" s="1" t="s">
        <v>13</v>
      </c>
      <c r="D7" s="28">
        <v>399.9</v>
      </c>
      <c r="E7" s="34">
        <v>3</v>
      </c>
      <c r="F7" s="28">
        <f>PRODUCT(Tabela1[[#This Row],[Preço Unitário]],Tabela1[[#This Row],[Qtd]])</f>
        <v>1199.6999999999998</v>
      </c>
      <c r="G7" s="48">
        <f>PRODUCT($D$11,Tabela1[[#This Row],[Valor Total]])</f>
        <v>59.984999999999992</v>
      </c>
    </row>
    <row r="8" spans="1:7" x14ac:dyDescent="0.25">
      <c r="A8" s="2" t="s">
        <v>8</v>
      </c>
      <c r="B8" s="4" t="s">
        <v>9</v>
      </c>
      <c r="C8" s="1" t="s">
        <v>13</v>
      </c>
      <c r="D8" s="28">
        <v>249.9</v>
      </c>
      <c r="E8" s="34">
        <v>1</v>
      </c>
      <c r="F8" s="28">
        <f>PRODUCT(Tabela1[[#This Row],[Preço Unitário]],Tabela1[[#This Row],[Qtd]])</f>
        <v>249.9</v>
      </c>
      <c r="G8" s="48">
        <f>PRODUCT($D$11,Tabela1[[#This Row],[Valor Total]])</f>
        <v>12.495000000000001</v>
      </c>
    </row>
    <row r="9" spans="1:7" ht="15.75" thickBot="1" x14ac:dyDescent="0.3">
      <c r="A9" s="10" t="s">
        <v>8</v>
      </c>
      <c r="B9" s="11" t="s">
        <v>10</v>
      </c>
      <c r="C9" s="12" t="s">
        <v>13</v>
      </c>
      <c r="D9" s="29">
        <v>259.89999999999998</v>
      </c>
      <c r="E9" s="36">
        <v>2</v>
      </c>
      <c r="F9" s="29">
        <f>PRODUCT(Tabela1[[#This Row],[Preço Unitário]],Tabela1[[#This Row],[Qtd]])</f>
        <v>519.79999999999995</v>
      </c>
      <c r="G9" s="49">
        <f>PRODUCT($D$11,Tabela1[[#This Row],[Valor Total]])</f>
        <v>25.99</v>
      </c>
    </row>
    <row r="10" spans="1:7" ht="15.75" thickBot="1" x14ac:dyDescent="0.3">
      <c r="A10" s="39" t="s">
        <v>14</v>
      </c>
      <c r="B10" s="40"/>
      <c r="C10" s="40"/>
      <c r="D10" s="41">
        <f>SUBTOTAL(109,Tabela1[Preço Unitário])</f>
        <v>998.4</v>
      </c>
      <c r="E10" s="42">
        <f>SUBTOTAL(109,Tabela1[Qtd])</f>
        <v>34</v>
      </c>
      <c r="F10" s="43">
        <f>SUBTOTAL(109,Tabela1[Valor Total])</f>
        <v>2776.5999999999995</v>
      </c>
      <c r="G10" s="43">
        <f>SUBTOTAL(109,Tabela1[Valor de Desconto])</f>
        <v>138.83000000000001</v>
      </c>
    </row>
    <row r="11" spans="1:7" ht="15.75" thickBot="1" x14ac:dyDescent="0.3">
      <c r="A11" s="37" t="s">
        <v>17</v>
      </c>
      <c r="B11" s="38"/>
      <c r="C11" s="38"/>
      <c r="D11" s="44">
        <v>0.05</v>
      </c>
      <c r="E11" s="45"/>
      <c r="F11" s="45"/>
      <c r="G11" s="46"/>
    </row>
  </sheetData>
  <mergeCells count="3">
    <mergeCell ref="A1:G1"/>
    <mergeCell ref="A11:C11"/>
    <mergeCell ref="D11:G1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Formatado como 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Celi</dc:creator>
  <cp:lastModifiedBy>Nicolas</cp:lastModifiedBy>
  <dcterms:created xsi:type="dcterms:W3CDTF">2026-06-23T00:58:36Z</dcterms:created>
  <dcterms:modified xsi:type="dcterms:W3CDTF">2026-06-24T21:29:53Z</dcterms:modified>
</cp:coreProperties>
</file>