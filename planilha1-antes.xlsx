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Atalhos\Pratica-excel\"/>
    </mc:Choice>
  </mc:AlternateContent>
  <xr:revisionPtr revIDLastSave="0" documentId="8_{B30271AA-824C-4EDA-A054-4D85A94EA50B}" xr6:coauthVersionLast="47" xr6:coauthVersionMax="47" xr10:uidLastSave="{00000000-0000-0000-0000-000000000000}"/>
  <bookViews>
    <workbookView xWindow="-120" yWindow="-120" windowWidth="24240" windowHeight="13140" activeTab="2" xr2:uid="{6077D460-A3AE-49D6-8961-F0C096034012}"/>
  </bookViews>
  <sheets>
    <sheet name="Estoque" sheetId="1" r:id="rId1"/>
    <sheet name="Estoque Arrumado" sheetId="2" r:id="rId2"/>
    <sheet name="Análises" sheetId="3" r:id="rId3"/>
  </sheets>
  <definedNames>
    <definedName name="_xlnm._FilterDatabase" localSheetId="0" hidden="1">Estoque!$A$3:$G$450</definedName>
    <definedName name="DadosExternos_1" localSheetId="1" hidden="1">'Estoque Arrumado'!$A$1:$I$245</definedName>
  </definedNames>
  <calcPr calcId="191029"/>
  <pivotCaches>
    <pivotCache cacheId="10" r:id="rId4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K2" i="2"/>
  <c r="L2" i="2" s="1"/>
  <c r="K3" i="2"/>
  <c r="L3" i="2" s="1"/>
  <c r="K4" i="2"/>
  <c r="L4" i="2" s="1"/>
  <c r="K5" i="2"/>
  <c r="L5" i="2" s="1"/>
  <c r="K6" i="2"/>
  <c r="L6" i="2" s="1"/>
  <c r="K7" i="2"/>
  <c r="L7" i="2" s="1"/>
  <c r="K8" i="2"/>
  <c r="L8" i="2" s="1"/>
  <c r="K9" i="2"/>
  <c r="L9" i="2" s="1"/>
  <c r="K10" i="2"/>
  <c r="L10" i="2" s="1"/>
  <c r="K11" i="2"/>
  <c r="L11" i="2" s="1"/>
  <c r="K12" i="2"/>
  <c r="L12" i="2" s="1"/>
  <c r="K13" i="2"/>
  <c r="L13" i="2" s="1"/>
  <c r="K14" i="2"/>
  <c r="L14" i="2" s="1"/>
  <c r="K15" i="2"/>
  <c r="L15" i="2" s="1"/>
  <c r="K16" i="2"/>
  <c r="L16" i="2" s="1"/>
  <c r="K17" i="2"/>
  <c r="L17" i="2" s="1"/>
  <c r="K18" i="2"/>
  <c r="L18" i="2" s="1"/>
  <c r="K19" i="2"/>
  <c r="L19" i="2" s="1"/>
  <c r="K20" i="2"/>
  <c r="L20" i="2" s="1"/>
  <c r="K21" i="2"/>
  <c r="L21" i="2" s="1"/>
  <c r="K22" i="2"/>
  <c r="K23" i="2"/>
  <c r="L23" i="2" s="1"/>
  <c r="K24" i="2"/>
  <c r="K25" i="2"/>
  <c r="K26" i="2"/>
  <c r="L26" i="2" s="1"/>
  <c r="K27" i="2"/>
  <c r="L27" i="2" s="1"/>
  <c r="K28" i="2"/>
  <c r="L28" i="2" s="1"/>
  <c r="K29" i="2"/>
  <c r="L29" i="2" s="1"/>
  <c r="K30" i="2"/>
  <c r="L30" i="2" s="1"/>
  <c r="K31" i="2"/>
  <c r="L31" i="2" s="1"/>
  <c r="K32" i="2"/>
  <c r="L32" i="2" s="1"/>
  <c r="K33" i="2"/>
  <c r="L33" i="2" s="1"/>
  <c r="K34" i="2"/>
  <c r="K35" i="2"/>
  <c r="L35" i="2" s="1"/>
  <c r="K36" i="2"/>
  <c r="L36" i="2" s="1"/>
  <c r="K37" i="2"/>
  <c r="L37" i="2" s="1"/>
  <c r="K38" i="2"/>
  <c r="L38" i="2" s="1"/>
  <c r="K39" i="2"/>
  <c r="L39" i="2" s="1"/>
  <c r="K40" i="2"/>
  <c r="L40" i="2" s="1"/>
  <c r="K41" i="2"/>
  <c r="L41" i="2" s="1"/>
  <c r="K42" i="2"/>
  <c r="L42" i="2" s="1"/>
  <c r="K43" i="2"/>
  <c r="L43" i="2" s="1"/>
  <c r="K44" i="2"/>
  <c r="L44" i="2" s="1"/>
  <c r="K45" i="2"/>
  <c r="L45" i="2" s="1"/>
  <c r="K46" i="2"/>
  <c r="K47" i="2"/>
  <c r="L47" i="2" s="1"/>
  <c r="K48" i="2"/>
  <c r="L48" i="2" s="1"/>
  <c r="K49" i="2"/>
  <c r="L49" i="2" s="1"/>
  <c r="K50" i="2"/>
  <c r="L50" i="2" s="1"/>
  <c r="K51" i="2"/>
  <c r="L51" i="2" s="1"/>
  <c r="K52" i="2"/>
  <c r="L52" i="2" s="1"/>
  <c r="K53" i="2"/>
  <c r="L53" i="2" s="1"/>
  <c r="K54" i="2"/>
  <c r="L54" i="2" s="1"/>
  <c r="K55" i="2"/>
  <c r="L55" i="2" s="1"/>
  <c r="K56" i="2"/>
  <c r="L56" i="2" s="1"/>
  <c r="K57" i="2"/>
  <c r="L57" i="2" s="1"/>
  <c r="K58" i="2"/>
  <c r="L58" i="2" s="1"/>
  <c r="K59" i="2"/>
  <c r="L59" i="2" s="1"/>
  <c r="K60" i="2"/>
  <c r="L60" i="2" s="1"/>
  <c r="K61" i="2"/>
  <c r="L61" i="2" s="1"/>
  <c r="K62" i="2"/>
  <c r="L62" i="2" s="1"/>
  <c r="K63" i="2"/>
  <c r="L63" i="2" s="1"/>
  <c r="K64" i="2"/>
  <c r="L64" i="2" s="1"/>
  <c r="K65" i="2"/>
  <c r="L65" i="2" s="1"/>
  <c r="K66" i="2"/>
  <c r="L66" i="2" s="1"/>
  <c r="K67" i="2"/>
  <c r="L67" i="2" s="1"/>
  <c r="K68" i="2"/>
  <c r="L68" i="2" s="1"/>
  <c r="K69" i="2"/>
  <c r="L69" i="2" s="1"/>
  <c r="K70" i="2"/>
  <c r="L70" i="2" s="1"/>
  <c r="K71" i="2"/>
  <c r="L71" i="2" s="1"/>
  <c r="K72" i="2"/>
  <c r="L72" i="2" s="1"/>
  <c r="K73" i="2"/>
  <c r="L73" i="2" s="1"/>
  <c r="K74" i="2"/>
  <c r="L74" i="2" s="1"/>
  <c r="K75" i="2"/>
  <c r="L75" i="2" s="1"/>
  <c r="K76" i="2"/>
  <c r="L76" i="2" s="1"/>
  <c r="K77" i="2"/>
  <c r="L77" i="2" s="1"/>
  <c r="K78" i="2"/>
  <c r="L78" i="2" s="1"/>
  <c r="K79" i="2"/>
  <c r="L79" i="2" s="1"/>
  <c r="K80" i="2"/>
  <c r="L80" i="2" s="1"/>
  <c r="K81" i="2"/>
  <c r="L81" i="2" s="1"/>
  <c r="K82" i="2"/>
  <c r="L82" i="2" s="1"/>
  <c r="K83" i="2"/>
  <c r="L83" i="2" s="1"/>
  <c r="K84" i="2"/>
  <c r="L84" i="2" s="1"/>
  <c r="K85" i="2"/>
  <c r="L85" i="2" s="1"/>
  <c r="K86" i="2"/>
  <c r="L86" i="2" s="1"/>
  <c r="K87" i="2"/>
  <c r="L87" i="2" s="1"/>
  <c r="K88" i="2"/>
  <c r="L88" i="2" s="1"/>
  <c r="K89" i="2"/>
  <c r="L89" i="2" s="1"/>
  <c r="K90" i="2"/>
  <c r="L90" i="2" s="1"/>
  <c r="K91" i="2"/>
  <c r="L91" i="2" s="1"/>
  <c r="K92" i="2"/>
  <c r="L92" i="2" s="1"/>
  <c r="K93" i="2"/>
  <c r="L93" i="2" s="1"/>
  <c r="K94" i="2"/>
  <c r="L94" i="2" s="1"/>
  <c r="K95" i="2"/>
  <c r="L95" i="2" s="1"/>
  <c r="K96" i="2"/>
  <c r="L96" i="2" s="1"/>
  <c r="K97" i="2"/>
  <c r="L97" i="2" s="1"/>
  <c r="K98" i="2"/>
  <c r="L98" i="2" s="1"/>
  <c r="K99" i="2"/>
  <c r="L99" i="2" s="1"/>
  <c r="K100" i="2"/>
  <c r="L100" i="2" s="1"/>
  <c r="K101" i="2"/>
  <c r="L101" i="2" s="1"/>
  <c r="K102" i="2"/>
  <c r="L102" i="2" s="1"/>
  <c r="K103" i="2"/>
  <c r="L103" i="2" s="1"/>
  <c r="K104" i="2"/>
  <c r="L104" i="2" s="1"/>
  <c r="K105" i="2"/>
  <c r="L105" i="2" s="1"/>
  <c r="K106" i="2"/>
  <c r="L106" i="2" s="1"/>
  <c r="K107" i="2"/>
  <c r="L107" i="2" s="1"/>
  <c r="K108" i="2"/>
  <c r="L108" i="2" s="1"/>
  <c r="K109" i="2"/>
  <c r="L109" i="2" s="1"/>
  <c r="K110" i="2"/>
  <c r="L110" i="2" s="1"/>
  <c r="K111" i="2"/>
  <c r="L111" i="2" s="1"/>
  <c r="K112" i="2"/>
  <c r="L112" i="2" s="1"/>
  <c r="K113" i="2"/>
  <c r="L113" i="2" s="1"/>
  <c r="K114" i="2"/>
  <c r="L114" i="2" s="1"/>
  <c r="K115" i="2"/>
  <c r="L115" i="2" s="1"/>
  <c r="K116" i="2"/>
  <c r="L116" i="2" s="1"/>
  <c r="K117" i="2"/>
  <c r="L117" i="2" s="1"/>
  <c r="K118" i="2"/>
  <c r="L118" i="2" s="1"/>
  <c r="K119" i="2"/>
  <c r="L119" i="2" s="1"/>
  <c r="K120" i="2"/>
  <c r="L120" i="2" s="1"/>
  <c r="K121" i="2"/>
  <c r="L121" i="2" s="1"/>
  <c r="K122" i="2"/>
  <c r="L122" i="2" s="1"/>
  <c r="K123" i="2"/>
  <c r="L123" i="2" s="1"/>
  <c r="K124" i="2"/>
  <c r="L124" i="2" s="1"/>
  <c r="K125" i="2"/>
  <c r="L125" i="2" s="1"/>
  <c r="K126" i="2"/>
  <c r="L126" i="2" s="1"/>
  <c r="K127" i="2"/>
  <c r="L127" i="2" s="1"/>
  <c r="K128" i="2"/>
  <c r="L128" i="2" s="1"/>
  <c r="K129" i="2"/>
  <c r="L129" i="2" s="1"/>
  <c r="K130" i="2"/>
  <c r="L130" i="2" s="1"/>
  <c r="K131" i="2"/>
  <c r="L131" i="2" s="1"/>
  <c r="K132" i="2"/>
  <c r="L132" i="2" s="1"/>
  <c r="K133" i="2"/>
  <c r="L133" i="2" s="1"/>
  <c r="K134" i="2"/>
  <c r="L134" i="2" s="1"/>
  <c r="K135" i="2"/>
  <c r="L135" i="2" s="1"/>
  <c r="K136" i="2"/>
  <c r="L136" i="2" s="1"/>
  <c r="K137" i="2"/>
  <c r="L137" i="2" s="1"/>
  <c r="K138" i="2"/>
  <c r="L138" i="2" s="1"/>
  <c r="K139" i="2"/>
  <c r="L139" i="2" s="1"/>
  <c r="K140" i="2"/>
  <c r="L140" i="2" s="1"/>
  <c r="K141" i="2"/>
  <c r="L141" i="2" s="1"/>
  <c r="K142" i="2"/>
  <c r="L142" i="2" s="1"/>
  <c r="K143" i="2"/>
  <c r="L143" i="2" s="1"/>
  <c r="K144" i="2"/>
  <c r="L144" i="2" s="1"/>
  <c r="K145" i="2"/>
  <c r="L145" i="2" s="1"/>
  <c r="K146" i="2"/>
  <c r="L146" i="2" s="1"/>
  <c r="K147" i="2"/>
  <c r="L147" i="2" s="1"/>
  <c r="K148" i="2"/>
  <c r="L148" i="2" s="1"/>
  <c r="K149" i="2"/>
  <c r="L149" i="2" s="1"/>
  <c r="K150" i="2"/>
  <c r="L150" i="2" s="1"/>
  <c r="K151" i="2"/>
  <c r="L151" i="2" s="1"/>
  <c r="K152" i="2"/>
  <c r="L152" i="2" s="1"/>
  <c r="K153" i="2"/>
  <c r="L153" i="2" s="1"/>
  <c r="K154" i="2"/>
  <c r="L154" i="2" s="1"/>
  <c r="K155" i="2"/>
  <c r="L155" i="2" s="1"/>
  <c r="K156" i="2"/>
  <c r="L156" i="2" s="1"/>
  <c r="K157" i="2"/>
  <c r="L157" i="2" s="1"/>
  <c r="K158" i="2"/>
  <c r="L158" i="2" s="1"/>
  <c r="K159" i="2"/>
  <c r="L159" i="2" s="1"/>
  <c r="K160" i="2"/>
  <c r="L160" i="2" s="1"/>
  <c r="K161" i="2"/>
  <c r="L161" i="2" s="1"/>
  <c r="K162" i="2"/>
  <c r="L162" i="2" s="1"/>
  <c r="K163" i="2"/>
  <c r="L163" i="2" s="1"/>
  <c r="K164" i="2"/>
  <c r="L164" i="2" s="1"/>
  <c r="K165" i="2"/>
  <c r="L165" i="2" s="1"/>
  <c r="K166" i="2"/>
  <c r="L166" i="2" s="1"/>
  <c r="K167" i="2"/>
  <c r="L167" i="2" s="1"/>
  <c r="K168" i="2"/>
  <c r="L168" i="2" s="1"/>
  <c r="K169" i="2"/>
  <c r="L169" i="2" s="1"/>
  <c r="K170" i="2"/>
  <c r="L170" i="2" s="1"/>
  <c r="K171" i="2"/>
  <c r="L171" i="2" s="1"/>
  <c r="K172" i="2"/>
  <c r="L172" i="2" s="1"/>
  <c r="K173" i="2"/>
  <c r="L173" i="2" s="1"/>
  <c r="K174" i="2"/>
  <c r="L174" i="2" s="1"/>
  <c r="K175" i="2"/>
  <c r="L175" i="2" s="1"/>
  <c r="K176" i="2"/>
  <c r="L176" i="2" s="1"/>
  <c r="K177" i="2"/>
  <c r="L177" i="2" s="1"/>
  <c r="K178" i="2"/>
  <c r="L178" i="2" s="1"/>
  <c r="K179" i="2"/>
  <c r="L179" i="2" s="1"/>
  <c r="K180" i="2"/>
  <c r="L180" i="2" s="1"/>
  <c r="K181" i="2"/>
  <c r="L181" i="2" s="1"/>
  <c r="K182" i="2"/>
  <c r="L182" i="2" s="1"/>
  <c r="K183" i="2"/>
  <c r="L183" i="2" s="1"/>
  <c r="K184" i="2"/>
  <c r="L184" i="2" s="1"/>
  <c r="K185" i="2"/>
  <c r="L185" i="2" s="1"/>
  <c r="K186" i="2"/>
  <c r="L186" i="2" s="1"/>
  <c r="K187" i="2"/>
  <c r="L187" i="2" s="1"/>
  <c r="K188" i="2"/>
  <c r="L188" i="2" s="1"/>
  <c r="K189" i="2"/>
  <c r="L189" i="2" s="1"/>
  <c r="K190" i="2"/>
  <c r="L190" i="2" s="1"/>
  <c r="K191" i="2"/>
  <c r="L191" i="2" s="1"/>
  <c r="K192" i="2"/>
  <c r="L192" i="2" s="1"/>
  <c r="K193" i="2"/>
  <c r="L193" i="2" s="1"/>
  <c r="K194" i="2"/>
  <c r="L194" i="2" s="1"/>
  <c r="K195" i="2"/>
  <c r="L195" i="2" s="1"/>
  <c r="K196" i="2"/>
  <c r="L196" i="2" s="1"/>
  <c r="K197" i="2"/>
  <c r="L197" i="2" s="1"/>
  <c r="K198" i="2"/>
  <c r="L198" i="2" s="1"/>
  <c r="K199" i="2"/>
  <c r="L199" i="2" s="1"/>
  <c r="K200" i="2"/>
  <c r="L200" i="2" s="1"/>
  <c r="K201" i="2"/>
  <c r="L201" i="2" s="1"/>
  <c r="K202" i="2"/>
  <c r="L202" i="2" s="1"/>
  <c r="K203" i="2"/>
  <c r="L203" i="2" s="1"/>
  <c r="K204" i="2"/>
  <c r="L204" i="2" s="1"/>
  <c r="K205" i="2"/>
  <c r="L205" i="2" s="1"/>
  <c r="K206" i="2"/>
  <c r="L206" i="2" s="1"/>
  <c r="K207" i="2"/>
  <c r="L207" i="2" s="1"/>
  <c r="K208" i="2"/>
  <c r="L208" i="2" s="1"/>
  <c r="K209" i="2"/>
  <c r="L209" i="2" s="1"/>
  <c r="K210" i="2"/>
  <c r="L210" i="2" s="1"/>
  <c r="K211" i="2"/>
  <c r="L211" i="2" s="1"/>
  <c r="K212" i="2"/>
  <c r="L212" i="2" s="1"/>
  <c r="K213" i="2"/>
  <c r="L213" i="2" s="1"/>
  <c r="K214" i="2"/>
  <c r="L214" i="2" s="1"/>
  <c r="K215" i="2"/>
  <c r="L215" i="2" s="1"/>
  <c r="K216" i="2"/>
  <c r="L216" i="2" s="1"/>
  <c r="K217" i="2"/>
  <c r="L217" i="2" s="1"/>
  <c r="K218" i="2"/>
  <c r="L218" i="2" s="1"/>
  <c r="K219" i="2"/>
  <c r="L219" i="2" s="1"/>
  <c r="K220" i="2"/>
  <c r="L220" i="2" s="1"/>
  <c r="K221" i="2"/>
  <c r="L221" i="2" s="1"/>
  <c r="K222" i="2"/>
  <c r="L222" i="2" s="1"/>
  <c r="K223" i="2"/>
  <c r="L223" i="2" s="1"/>
  <c r="K224" i="2"/>
  <c r="L224" i="2" s="1"/>
  <c r="K225" i="2"/>
  <c r="L225" i="2" s="1"/>
  <c r="K226" i="2"/>
  <c r="L226" i="2" s="1"/>
  <c r="K227" i="2"/>
  <c r="L227" i="2" s="1"/>
  <c r="K228" i="2"/>
  <c r="L228" i="2" s="1"/>
  <c r="K229" i="2"/>
  <c r="L229" i="2" s="1"/>
  <c r="K230" i="2"/>
  <c r="L230" i="2" s="1"/>
  <c r="K231" i="2"/>
  <c r="L231" i="2" s="1"/>
  <c r="K232" i="2"/>
  <c r="L232" i="2" s="1"/>
  <c r="K233" i="2"/>
  <c r="L233" i="2" s="1"/>
  <c r="K234" i="2"/>
  <c r="L234" i="2" s="1"/>
  <c r="K235" i="2"/>
  <c r="L235" i="2" s="1"/>
  <c r="K236" i="2"/>
  <c r="L236" i="2" s="1"/>
  <c r="K237" i="2"/>
  <c r="L237" i="2" s="1"/>
  <c r="K238" i="2"/>
  <c r="L238" i="2" s="1"/>
  <c r="K239" i="2"/>
  <c r="L239" i="2" s="1"/>
  <c r="K240" i="2"/>
  <c r="L240" i="2" s="1"/>
  <c r="K241" i="2"/>
  <c r="L241" i="2" s="1"/>
  <c r="K242" i="2"/>
  <c r="L242" i="2" s="1"/>
  <c r="K243" i="2"/>
  <c r="L243" i="2" s="1"/>
  <c r="K244" i="2"/>
  <c r="L244" i="2" s="1"/>
  <c r="K245" i="2"/>
  <c r="L245" i="2" s="1"/>
  <c r="L22" i="2"/>
  <c r="L24" i="2"/>
  <c r="L25" i="2"/>
  <c r="L34" i="2"/>
  <c r="L46" i="2"/>
  <c r="B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98763B-8856-4DD5-BF37-07795E6A7487}" keepAlive="1" name="Consulta - Estoque" description="Conexão com a consulta 'Estoque' na pasta de trabalho." type="5" refreshedVersion="7" background="1" saveData="1">
    <dbPr connection="Provider=Microsoft.Mashup.OleDb.1;Data Source=$Workbook$;Location=Estoque;Extended Properties=&quot;&quot;" command="SELECT * FROM [Estoque]"/>
  </connection>
</connections>
</file>

<file path=xl/sharedStrings.xml><?xml version="1.0" encoding="utf-8"?>
<sst xmlns="http://schemas.openxmlformats.org/spreadsheetml/2006/main" count="2593" uniqueCount="689">
  <si>
    <t>Produto</t>
  </si>
  <si>
    <t>Valor Unitário</t>
  </si>
  <si>
    <t>Validade</t>
  </si>
  <si>
    <t>Lote</t>
  </si>
  <si>
    <t>Produto R - Marca Lambda</t>
  </si>
  <si>
    <t>Produto A - Marca Lambda</t>
  </si>
  <si>
    <t>Produto D - Marca Gama</t>
  </si>
  <si>
    <t>Produto C - Marca Capa</t>
  </si>
  <si>
    <t>Produto S - Marca Sigma</t>
  </si>
  <si>
    <t>Produto Q - Marca Beta</t>
  </si>
  <si>
    <t>Produto K - Marca Delta</t>
  </si>
  <si>
    <t>Produto A - Marca Beta</t>
  </si>
  <si>
    <t>Produto J - Marca Capa</t>
  </si>
  <si>
    <t>Produto J - Marca Delta</t>
  </si>
  <si>
    <t>Produto K - Marca Capa</t>
  </si>
  <si>
    <t>Produto M - Marca Lambda</t>
  </si>
  <si>
    <t>Produto M - Marca Alfa</t>
  </si>
  <si>
    <t>Produto B - Marca Lambda</t>
  </si>
  <si>
    <t>Produto E - Marca Lambda</t>
  </si>
  <si>
    <t>Produto K - Marca Alfa</t>
  </si>
  <si>
    <t>Produto S - Marca Beta</t>
  </si>
  <si>
    <t>Produto H - Marca Delta</t>
  </si>
  <si>
    <t>Produto G - Marca Gama</t>
  </si>
  <si>
    <t>Produto L - Marca Delta</t>
  </si>
  <si>
    <t>Produto I - Marca Beta</t>
  </si>
  <si>
    <t>Produto F - Marca Sigma</t>
  </si>
  <si>
    <t>Produto B - Marca Épsilon</t>
  </si>
  <si>
    <t>Produto E - Marca Delta</t>
  </si>
  <si>
    <t>Produto B - Marca Delta</t>
  </si>
  <si>
    <t>Produto S - Marca Lambda</t>
  </si>
  <si>
    <t>Produto S - Marca Alfa</t>
  </si>
  <si>
    <t>Produto Q - Marca Sigma</t>
  </si>
  <si>
    <t>Produto Q - Marca Gama</t>
  </si>
  <si>
    <t>Produto O - Marca Gama</t>
  </si>
  <si>
    <t>Produto M - Marca Sigma</t>
  </si>
  <si>
    <t>Produto C - Marca Delta</t>
  </si>
  <si>
    <t>Produto B - Marca Beta</t>
  </si>
  <si>
    <t>Produto L - Marca Alfa</t>
  </si>
  <si>
    <t>Produto N - Marca Delta</t>
  </si>
  <si>
    <t>Produto R - Marca Capa</t>
  </si>
  <si>
    <t>Produto K - Marca Gama</t>
  </si>
  <si>
    <t>Produto L - Marca Épsilon</t>
  </si>
  <si>
    <t>Produto F - Marca Delta</t>
  </si>
  <si>
    <t>Produto E - Marca Capa</t>
  </si>
  <si>
    <t>Produto F - Marca Beta</t>
  </si>
  <si>
    <t>Produto M - Marca Gama</t>
  </si>
  <si>
    <t>Produto N - Marca Beta</t>
  </si>
  <si>
    <t>Produto A - Marca Alfa</t>
  </si>
  <si>
    <t>Produto I - Marca Épsilon</t>
  </si>
  <si>
    <t>Produto R - Marca Gama</t>
  </si>
  <si>
    <t>Produto A - Marca Delta</t>
  </si>
  <si>
    <t>Produto D - Marca Beta</t>
  </si>
  <si>
    <t>Produto P - Marca Épsilon</t>
  </si>
  <si>
    <t>Produto P - Marca Gama</t>
  </si>
  <si>
    <t>Produto A - Marca Épsilon</t>
  </si>
  <si>
    <t>Produto J - Marca Beta</t>
  </si>
  <si>
    <t>Produto G - Marca Alfa</t>
  </si>
  <si>
    <t>Produto P - Marca Delta</t>
  </si>
  <si>
    <t>Produto D - Marca Capa</t>
  </si>
  <si>
    <t>Produto N - Marca Gama</t>
  </si>
  <si>
    <t>Produto K - Marca Sigma</t>
  </si>
  <si>
    <t>Produto Q - Marca Alfa</t>
  </si>
  <si>
    <t>Produto J - Marca Épsilon</t>
  </si>
  <si>
    <t>Produto D - Marca Lambda</t>
  </si>
  <si>
    <t>Produto P - Marca Lambda</t>
  </si>
  <si>
    <t>Produto P - Marca Beta</t>
  </si>
  <si>
    <t>Produto J - Marca Alfa</t>
  </si>
  <si>
    <t>Produto H - Marca Alfa</t>
  </si>
  <si>
    <t>Produto Q - Marca Capa</t>
  </si>
  <si>
    <t>Produto A - Marca Sigma</t>
  </si>
  <si>
    <t>Produto M - Marca Épsilon</t>
  </si>
  <si>
    <t>Produto O - Marca Alfa</t>
  </si>
  <si>
    <t>Produto O - Marca Delta</t>
  </si>
  <si>
    <t>Produto R - Marca Alfa</t>
  </si>
  <si>
    <t>Produto I - Marca Alfa</t>
  </si>
  <si>
    <t>Produto J - Marca Gama</t>
  </si>
  <si>
    <t>Produto R - Marca Sigma</t>
  </si>
  <si>
    <t>Produto D - Marca Sigma</t>
  </si>
  <si>
    <t>Produto B - Marca Capa</t>
  </si>
  <si>
    <t>Produto H - Marca Gama</t>
  </si>
  <si>
    <t>Produto I - Marca Capa</t>
  </si>
  <si>
    <t>Produto E - Marca Beta</t>
  </si>
  <si>
    <t>Produto C - Marca Sigma</t>
  </si>
  <si>
    <t>Produto N - Marca Capa</t>
  </si>
  <si>
    <t>Produto E - Marca Épsilon</t>
  </si>
  <si>
    <t>Produto C - Marca Lambda</t>
  </si>
  <si>
    <t>Produto H - Marca Lambda</t>
  </si>
  <si>
    <t>Produto H - Marca Capa</t>
  </si>
  <si>
    <t>Produto L - Marca Gama</t>
  </si>
  <si>
    <t>Produto P - Marca Alfa</t>
  </si>
  <si>
    <t>Produto R - Marca Beta</t>
  </si>
  <si>
    <t>Produto F - Marca Lambda</t>
  </si>
  <si>
    <t>Produto S - Marca Gama</t>
  </si>
  <si>
    <t>Produto C - Marca Gama</t>
  </si>
  <si>
    <t>Produto I - Marca Lambda</t>
  </si>
  <si>
    <t>Produto L - Marca Capa</t>
  </si>
  <si>
    <t>Produto H - Marca Épsilon</t>
  </si>
  <si>
    <t>Produto F - Marca Épsilon</t>
  </si>
  <si>
    <t>Produto P - Marca Capa</t>
  </si>
  <si>
    <t>Produto K - Marca Lambda</t>
  </si>
  <si>
    <t>Produto G - Marca Delta</t>
  </si>
  <si>
    <t>Produto F - Marca Capa</t>
  </si>
  <si>
    <t>Produto A - Marca Capa</t>
  </si>
  <si>
    <t>Produto H - Marca Sigma</t>
  </si>
  <si>
    <t>Produto C - Marca Épsilon</t>
  </si>
  <si>
    <t>Produto R - Marca Épsilon</t>
  </si>
  <si>
    <t>Produto O - Marca Sigma</t>
  </si>
  <si>
    <t>Produto O - Marca Beta</t>
  </si>
  <si>
    <t>Produto M - Marca Capa</t>
  </si>
  <si>
    <t>Produto L - Marca Lambda</t>
  </si>
  <si>
    <t>Produto D - Marca Delta</t>
  </si>
  <si>
    <t>Produto I - Marca Delta</t>
  </si>
  <si>
    <t>Produto F - Marca Gama</t>
  </si>
  <si>
    <t>Produto L - Marca Beta</t>
  </si>
  <si>
    <t>Produto B - Marca Alfa</t>
  </si>
  <si>
    <t>Produto B - Marca Sigma</t>
  </si>
  <si>
    <t>Produto H - Marca Beta</t>
  </si>
  <si>
    <t>Produto K - Marca Épsilon</t>
  </si>
  <si>
    <t>AR</t>
  </si>
  <si>
    <t>BR</t>
  </si>
  <si>
    <t>US</t>
  </si>
  <si>
    <t>CH</t>
  </si>
  <si>
    <t>Lote 5858</t>
  </si>
  <si>
    <t>Lote 3072</t>
  </si>
  <si>
    <t>Lote 2341</t>
  </si>
  <si>
    <t>Lote 3175</t>
  </si>
  <si>
    <t>Lote 2120</t>
  </si>
  <si>
    <t>Lote 4662</t>
  </si>
  <si>
    <t>Lote 2723</t>
  </si>
  <si>
    <t>Lote 4754</t>
  </si>
  <si>
    <t>Lote 2326</t>
  </si>
  <si>
    <t>Lote 5494</t>
  </si>
  <si>
    <t>Lote 1915</t>
  </si>
  <si>
    <t>Lote 3135</t>
  </si>
  <si>
    <t>Lote 7447</t>
  </si>
  <si>
    <t>Lote 7129</t>
  </si>
  <si>
    <t>Lote 5155</t>
  </si>
  <si>
    <t>Lote 1821</t>
  </si>
  <si>
    <t>Lote 3667</t>
  </si>
  <si>
    <t>Lote 4451</t>
  </si>
  <si>
    <t>Lote 3338</t>
  </si>
  <si>
    <t>Lote 6092</t>
  </si>
  <si>
    <t>Lote 2044</t>
  </si>
  <si>
    <t>Lote 4377</t>
  </si>
  <si>
    <t>Lote 3660</t>
  </si>
  <si>
    <t>Lote 6121</t>
  </si>
  <si>
    <t>Lote 5965</t>
  </si>
  <si>
    <t>Lote 8108</t>
  </si>
  <si>
    <t>Lote 4123</t>
  </si>
  <si>
    <t>Lote 1414</t>
  </si>
  <si>
    <t>Lote 5698</t>
  </si>
  <si>
    <t>Lote 5401</t>
  </si>
  <si>
    <t>Lote 7080</t>
  </si>
  <si>
    <t>Lote 8196</t>
  </si>
  <si>
    <t>Lote 4173</t>
  </si>
  <si>
    <t>Lote 6367</t>
  </si>
  <si>
    <t>Lote 5447</t>
  </si>
  <si>
    <t>Lote 5741</t>
  </si>
  <si>
    <t>Lote 4050</t>
  </si>
  <si>
    <t>Lote 7079</t>
  </si>
  <si>
    <t>Lote 6236</t>
  </si>
  <si>
    <t>Lote 7045</t>
  </si>
  <si>
    <t>Lote 4369</t>
  </si>
  <si>
    <t>Lote 6591</t>
  </si>
  <si>
    <t>Lote 7970</t>
  </si>
  <si>
    <t>Lote 7916</t>
  </si>
  <si>
    <t>Lote 3508</t>
  </si>
  <si>
    <t>Lote 2369</t>
  </si>
  <si>
    <t>Lote 7548</t>
  </si>
  <si>
    <t>Lote 5638</t>
  </si>
  <si>
    <t>Lote 2780</t>
  </si>
  <si>
    <t>Lote 5569</t>
  </si>
  <si>
    <t>Lote 2383</t>
  </si>
  <si>
    <t>Lote 7356</t>
  </si>
  <si>
    <t>Lote 5701</t>
  </si>
  <si>
    <t>Lote 1482</t>
  </si>
  <si>
    <t>Lote 4889</t>
  </si>
  <si>
    <t>Lote 2588</t>
  </si>
  <si>
    <t>Lote 3828</t>
  </si>
  <si>
    <t>Lote 4895</t>
  </si>
  <si>
    <t>Lote 4164</t>
  </si>
  <si>
    <t>Lote 5307</t>
  </si>
  <si>
    <t>Lote 3201</t>
  </si>
  <si>
    <t>Lote 4554</t>
  </si>
  <si>
    <t>Lote 2537</t>
  </si>
  <si>
    <t>Lote 4063</t>
  </si>
  <si>
    <t>Lote 3627</t>
  </si>
  <si>
    <t>Lote 2321</t>
  </si>
  <si>
    <t>Lote 2684</t>
  </si>
  <si>
    <t>Lote 7123</t>
  </si>
  <si>
    <t>Lote 8114</t>
  </si>
  <si>
    <t>Lote 8229</t>
  </si>
  <si>
    <t>Lote 2880</t>
  </si>
  <si>
    <t>Lote 4989</t>
  </si>
  <si>
    <t>Lote 7867</t>
  </si>
  <si>
    <t>Lote 4301</t>
  </si>
  <si>
    <t>Lote 8048</t>
  </si>
  <si>
    <t>Lote 2387</t>
  </si>
  <si>
    <t>Lote 8104</t>
  </si>
  <si>
    <t>Lote 5804</t>
  </si>
  <si>
    <t>Lote 7396</t>
  </si>
  <si>
    <t>Lote 1326</t>
  </si>
  <si>
    <t>Lote 5485</t>
  </si>
  <si>
    <t>Lote 1802</t>
  </si>
  <si>
    <t>Lote 7397</t>
  </si>
  <si>
    <t>Lote 1311</t>
  </si>
  <si>
    <t>Lote 6217</t>
  </si>
  <si>
    <t>Lote 2801</t>
  </si>
  <si>
    <t>Lote 1570</t>
  </si>
  <si>
    <t>Lote 5568</t>
  </si>
  <si>
    <t>Lote 7700</t>
  </si>
  <si>
    <t>Lote 3483</t>
  </si>
  <si>
    <t>Lote 7833</t>
  </si>
  <si>
    <t>Lote 6310</t>
  </si>
  <si>
    <t>Lote 7652</t>
  </si>
  <si>
    <t>Lote 4483</t>
  </si>
  <si>
    <t>Lote 3043</t>
  </si>
  <si>
    <t>Lote 1166</t>
  </si>
  <si>
    <t>Lote 3359</t>
  </si>
  <si>
    <t>Lote 6626</t>
  </si>
  <si>
    <t>Lote 6584</t>
  </si>
  <si>
    <t>Lote 6279</t>
  </si>
  <si>
    <t>Lote 4931</t>
  </si>
  <si>
    <t>Lote 7431</t>
  </si>
  <si>
    <t>Lote 5874</t>
  </si>
  <si>
    <t>Lote 1882</t>
  </si>
  <si>
    <t>Lote 4533</t>
  </si>
  <si>
    <t>Lote 1464</t>
  </si>
  <si>
    <t>Lote 1671</t>
  </si>
  <si>
    <t>Lote 6370</t>
  </si>
  <si>
    <t>Lote 3041</t>
  </si>
  <si>
    <t>Lote 7740</t>
  </si>
  <si>
    <t>Lote 6259</t>
  </si>
  <si>
    <t>Lote 3024</t>
  </si>
  <si>
    <t>Lote 3621</t>
  </si>
  <si>
    <t>Lote 2371</t>
  </si>
  <si>
    <t>Lote 7457</t>
  </si>
  <si>
    <t>Lote 4998</t>
  </si>
  <si>
    <t>Lote 4732</t>
  </si>
  <si>
    <t>Lote 2206</t>
  </si>
  <si>
    <t>Lote 5184</t>
  </si>
  <si>
    <t>Lote 3020</t>
  </si>
  <si>
    <t>Lote 4997</t>
  </si>
  <si>
    <t>Lote 1578</t>
  </si>
  <si>
    <t>Lote 1434</t>
  </si>
  <si>
    <t>Lote 3813</t>
  </si>
  <si>
    <t>Lote 5644</t>
  </si>
  <si>
    <t>Lote 2160</t>
  </si>
  <si>
    <t>Lote 4465</t>
  </si>
  <si>
    <t>Lote 7108</t>
  </si>
  <si>
    <t>Lote 1479</t>
  </si>
  <si>
    <t>Lote 5264</t>
  </si>
  <si>
    <t>Lote 5209</t>
  </si>
  <si>
    <t>Lote 4252</t>
  </si>
  <si>
    <t>Lote 6468</t>
  </si>
  <si>
    <t>Lote 7960</t>
  </si>
  <si>
    <t>Lote 5689</t>
  </si>
  <si>
    <t>Lote 2824</t>
  </si>
  <si>
    <t>Lote 4209</t>
  </si>
  <si>
    <t>Lote 2902</t>
  </si>
  <si>
    <t>Lote 1186</t>
  </si>
  <si>
    <t>Lote 7092</t>
  </si>
  <si>
    <t>Lote 7132</t>
  </si>
  <si>
    <t>Lote 7807</t>
  </si>
  <si>
    <t>Lote 8390</t>
  </si>
  <si>
    <t>Lote 1619</t>
  </si>
  <si>
    <t>Lote 2248</t>
  </si>
  <si>
    <t>Lote 1469</t>
  </si>
  <si>
    <t>Lote 5351</t>
  </si>
  <si>
    <t>Lote 4615</t>
  </si>
  <si>
    <t>Lote 3176</t>
  </si>
  <si>
    <t>Lote 6950</t>
  </si>
  <si>
    <t>Lote 6366</t>
  </si>
  <si>
    <t>Lote 2721</t>
  </si>
  <si>
    <t>Lote 6470</t>
  </si>
  <si>
    <t>Lote 7070</t>
  </si>
  <si>
    <t>Lote 2463</t>
  </si>
  <si>
    <t>Lote 6711</t>
  </si>
  <si>
    <t>Lote 7325</t>
  </si>
  <si>
    <t>Lote 3366</t>
  </si>
  <si>
    <t>Lote 1393</t>
  </si>
  <si>
    <t>Lote 6450</t>
  </si>
  <si>
    <t>Lote 8277</t>
  </si>
  <si>
    <t>Lote 4361</t>
  </si>
  <si>
    <t>Lote 8026</t>
  </si>
  <si>
    <t>Lote 6782</t>
  </si>
  <si>
    <t>Lote 7860</t>
  </si>
  <si>
    <t>Lote 3730</t>
  </si>
  <si>
    <t>Lote 3956</t>
  </si>
  <si>
    <t>Lote 4368</t>
  </si>
  <si>
    <t>Lote 5919</t>
  </si>
  <si>
    <t>Lote 1303</t>
  </si>
  <si>
    <t>Lote 1324</t>
  </si>
  <si>
    <t>Lote 7073</t>
  </si>
  <si>
    <t>Lote 1372</t>
  </si>
  <si>
    <t>Lote 5545</t>
  </si>
  <si>
    <t>Lote 6795</t>
  </si>
  <si>
    <t>Lote 1506</t>
  </si>
  <si>
    <t>Lote 3252</t>
  </si>
  <si>
    <t>Lote 2611</t>
  </si>
  <si>
    <t>Lote 2304</t>
  </si>
  <si>
    <t>Lote 7382</t>
  </si>
  <si>
    <t>Lote 6530</t>
  </si>
  <si>
    <t>Lote 2155</t>
  </si>
  <si>
    <t>Lote 7271</t>
  </si>
  <si>
    <t>Lote 6446</t>
  </si>
  <si>
    <t>Lote 4091</t>
  </si>
  <si>
    <t>Lote 7623</t>
  </si>
  <si>
    <t>Lote 6930</t>
  </si>
  <si>
    <t>Lote 1338</t>
  </si>
  <si>
    <t>Lote 6560</t>
  </si>
  <si>
    <t>Lote 1663</t>
  </si>
  <si>
    <t>Lote 2002</t>
  </si>
  <si>
    <t>Lote 3981</t>
  </si>
  <si>
    <t>Lote 7395</t>
  </si>
  <si>
    <t>Lote 6668</t>
  </si>
  <si>
    <t>Lote 1672</t>
  </si>
  <si>
    <t>Lote 7520</t>
  </si>
  <si>
    <t>Lote 7393</t>
  </si>
  <si>
    <t>Lote 3595</t>
  </si>
  <si>
    <t>Lote 4404</t>
  </si>
  <si>
    <t>Lote 3903</t>
  </si>
  <si>
    <t>Lote 5666</t>
  </si>
  <si>
    <t>Lote 6761</t>
  </si>
  <si>
    <t>Lote 6650</t>
  </si>
  <si>
    <t>Lote 3334</t>
  </si>
  <si>
    <t>Lote 1417</t>
  </si>
  <si>
    <t>Lote 3276</t>
  </si>
  <si>
    <t>Lote 3047</t>
  </si>
  <si>
    <t>Lote 2253</t>
  </si>
  <si>
    <t>Lote 1207</t>
  </si>
  <si>
    <t>Lote 5121</t>
  </si>
  <si>
    <t>Lote 5373</t>
  </si>
  <si>
    <t>Lote 7971</t>
  </si>
  <si>
    <t>Lote 6152</t>
  </si>
  <si>
    <t>Lote 2489</t>
  </si>
  <si>
    <t>Lote 4193</t>
  </si>
  <si>
    <t>Lote 3746</t>
  </si>
  <si>
    <t>Lote 3576</t>
  </si>
  <si>
    <t>Lote 6225</t>
  </si>
  <si>
    <t>Lote 4817</t>
  </si>
  <si>
    <t>Lote 7327</t>
  </si>
  <si>
    <t>Lote 3210</t>
  </si>
  <si>
    <t>Lote 2386</t>
  </si>
  <si>
    <t>Lote 5690</t>
  </si>
  <si>
    <t>Lote 1779</t>
  </si>
  <si>
    <t>Lote 7025</t>
  </si>
  <si>
    <t>Lote 2351</t>
  </si>
  <si>
    <t>Lote 6464</t>
  </si>
  <si>
    <t>Lote 5198</t>
  </si>
  <si>
    <t>Lote 7381</t>
  </si>
  <si>
    <t>Lote 7728</t>
  </si>
  <si>
    <t>Lote 5738</t>
  </si>
  <si>
    <t>Lote 3386</t>
  </si>
  <si>
    <t>Lote 6539</t>
  </si>
  <si>
    <t>Lote 6149</t>
  </si>
  <si>
    <t>Lote 4300</t>
  </si>
  <si>
    <t>Lote 3207</t>
  </si>
  <si>
    <t>Lote 7088</t>
  </si>
  <si>
    <t>Lote 1371</t>
  </si>
  <si>
    <t>Lote 3647</t>
  </si>
  <si>
    <t>Lote 4962</t>
  </si>
  <si>
    <t>Qtd Estoque</t>
  </si>
  <si>
    <t>Marcelo T. de Alvear 120 - Cordoba, Argentina</t>
  </si>
  <si>
    <t>9 de Julio 500 - Mendonza, Argentina</t>
  </si>
  <si>
    <t>Felipe Vallese 100 - Buenos Aires, Argentina</t>
  </si>
  <si>
    <t>Calle Mitre 123 - Bariloche, Argentina</t>
  </si>
  <si>
    <t>8001 S Orange Blossom Trl - Florida, United States</t>
  </si>
  <si>
    <t>Cupertino, CA 95014 - Califórina, United States</t>
  </si>
  <si>
    <t>Nanquim 123 - Xangai, China</t>
  </si>
  <si>
    <t>Wangfujing 12456 - Pequim, China</t>
  </si>
  <si>
    <t>Rua Líbero Badaró, 425. Bairro Sé - São Paulo, Brasil</t>
  </si>
  <si>
    <t>Rua Amoroso Lima, 15 - Cidade Nova - Rio de Janeiro, Brasil</t>
  </si>
  <si>
    <t>Endereço</t>
  </si>
  <si>
    <t>País Origem</t>
  </si>
  <si>
    <t>Lote 9999</t>
  </si>
  <si>
    <t>Lote 5555</t>
  </si>
  <si>
    <t>Rua do Microfone, 56 - Aracaju, Brasil</t>
  </si>
  <si>
    <t>Produto F - Marca Vírgula</t>
  </si>
  <si>
    <t>Produto P - Marca Martins</t>
  </si>
  <si>
    <t>Produto G - Marca Ferreira</t>
  </si>
  <si>
    <t>Marca</t>
  </si>
  <si>
    <t>Estado</t>
  </si>
  <si>
    <t>P</t>
  </si>
  <si>
    <t>Martins</t>
  </si>
  <si>
    <t>5555</t>
  </si>
  <si>
    <t>Brasil</t>
  </si>
  <si>
    <t>Aracaju</t>
  </si>
  <si>
    <t>B</t>
  </si>
  <si>
    <t>Lambda</t>
  </si>
  <si>
    <t>7447</t>
  </si>
  <si>
    <t>China</t>
  </si>
  <si>
    <t>Pequim</t>
  </si>
  <si>
    <t>H</t>
  </si>
  <si>
    <t>Gama</t>
  </si>
  <si>
    <t>7129</t>
  </si>
  <si>
    <t>São Paulo</t>
  </si>
  <si>
    <t>C</t>
  </si>
  <si>
    <t>5155</t>
  </si>
  <si>
    <t>Argentina</t>
  </si>
  <si>
    <t>Cordoba</t>
  </si>
  <si>
    <t>Alfa</t>
  </si>
  <si>
    <t>3667</t>
  </si>
  <si>
    <t>Capa</t>
  </si>
  <si>
    <t>4451</t>
  </si>
  <si>
    <t>Rio de Janeiro</t>
  </si>
  <si>
    <t>R</t>
  </si>
  <si>
    <t>3338</t>
  </si>
  <si>
    <t>Mendonza</t>
  </si>
  <si>
    <t>6092</t>
  </si>
  <si>
    <t>O</t>
  </si>
  <si>
    <t>Delta</t>
  </si>
  <si>
    <t>2044</t>
  </si>
  <si>
    <t>4377</t>
  </si>
  <si>
    <t>Buenos Aires</t>
  </si>
  <si>
    <t>E</t>
  </si>
  <si>
    <t>3660</t>
  </si>
  <si>
    <t>Bariloche</t>
  </si>
  <si>
    <t>Beta</t>
  </si>
  <si>
    <t>6121</t>
  </si>
  <si>
    <t>5965</t>
  </si>
  <si>
    <t>G</t>
  </si>
  <si>
    <t>8108</t>
  </si>
  <si>
    <t>F</t>
  </si>
  <si>
    <t>4662</t>
  </si>
  <si>
    <t>L</t>
  </si>
  <si>
    <t>2723</t>
  </si>
  <si>
    <t>Xangai</t>
  </si>
  <si>
    <t>D</t>
  </si>
  <si>
    <t>4123</t>
  </si>
  <si>
    <t>1414</t>
  </si>
  <si>
    <t>J</t>
  </si>
  <si>
    <t>5698</t>
  </si>
  <si>
    <t>Épsilon</t>
  </si>
  <si>
    <t>5401</t>
  </si>
  <si>
    <t>Estados Unidos</t>
  </si>
  <si>
    <t>Florida</t>
  </si>
  <si>
    <t>K</t>
  </si>
  <si>
    <t>7080</t>
  </si>
  <si>
    <t>8196</t>
  </si>
  <si>
    <t>I</t>
  </si>
  <si>
    <t>4173</t>
  </si>
  <si>
    <t>A</t>
  </si>
  <si>
    <t>6367</t>
  </si>
  <si>
    <t>5447</t>
  </si>
  <si>
    <t>5741</t>
  </si>
  <si>
    <t>4050</t>
  </si>
  <si>
    <t>7079</t>
  </si>
  <si>
    <t>6236</t>
  </si>
  <si>
    <t>7045</t>
  </si>
  <si>
    <t>4369</t>
  </si>
  <si>
    <t>6591</t>
  </si>
  <si>
    <t>7970</t>
  </si>
  <si>
    <t>Sigma</t>
  </si>
  <si>
    <t>7916</t>
  </si>
  <si>
    <t>3508</t>
  </si>
  <si>
    <t>2369</t>
  </si>
  <si>
    <t>7548</t>
  </si>
  <si>
    <t>5638</t>
  </si>
  <si>
    <t>2780</t>
  </si>
  <si>
    <t>5569</t>
  </si>
  <si>
    <t>2383</t>
  </si>
  <si>
    <t>7356</t>
  </si>
  <si>
    <t>Califórina</t>
  </si>
  <si>
    <t>M</t>
  </si>
  <si>
    <t>5701</t>
  </si>
  <si>
    <t>1482</t>
  </si>
  <si>
    <t>4889</t>
  </si>
  <si>
    <t>3135</t>
  </si>
  <si>
    <t>2588</t>
  </si>
  <si>
    <t>3828</t>
  </si>
  <si>
    <t>4895</t>
  </si>
  <si>
    <t>4164</t>
  </si>
  <si>
    <t>Q</t>
  </si>
  <si>
    <t>2341</t>
  </si>
  <si>
    <t>5307</t>
  </si>
  <si>
    <t>3201</t>
  </si>
  <si>
    <t>4554</t>
  </si>
  <si>
    <t>2537</t>
  </si>
  <si>
    <t>4063</t>
  </si>
  <si>
    <t>S</t>
  </si>
  <si>
    <t>3627</t>
  </si>
  <si>
    <t>2321</t>
  </si>
  <si>
    <t>2684</t>
  </si>
  <si>
    <t>7123</t>
  </si>
  <si>
    <t>8114</t>
  </si>
  <si>
    <t>8229</t>
  </si>
  <si>
    <t>2880</t>
  </si>
  <si>
    <t>4989</t>
  </si>
  <si>
    <t>7867</t>
  </si>
  <si>
    <t>4301</t>
  </si>
  <si>
    <t>8048</t>
  </si>
  <si>
    <t>2387</t>
  </si>
  <si>
    <t>8104</t>
  </si>
  <si>
    <t>5804</t>
  </si>
  <si>
    <t>7396</t>
  </si>
  <si>
    <t>1326</t>
  </si>
  <si>
    <t>5485</t>
  </si>
  <si>
    <t>1802</t>
  </si>
  <si>
    <t>7397</t>
  </si>
  <si>
    <t>1311</t>
  </si>
  <si>
    <t>6217</t>
  </si>
  <si>
    <t>2801</t>
  </si>
  <si>
    <t>1570</t>
  </si>
  <si>
    <t>5568</t>
  </si>
  <si>
    <t>7700</t>
  </si>
  <si>
    <t>3483</t>
  </si>
  <si>
    <t>7833</t>
  </si>
  <si>
    <t>6310</t>
  </si>
  <si>
    <t>N</t>
  </si>
  <si>
    <t>7652</t>
  </si>
  <si>
    <t>4483</t>
  </si>
  <si>
    <t>3043</t>
  </si>
  <si>
    <t>1166</t>
  </si>
  <si>
    <t>3359</t>
  </si>
  <si>
    <t>6626</t>
  </si>
  <si>
    <t>6584</t>
  </si>
  <si>
    <t>6279</t>
  </si>
  <si>
    <t>4931</t>
  </si>
  <si>
    <t>7431</t>
  </si>
  <si>
    <t>5874</t>
  </si>
  <si>
    <t>1882</t>
  </si>
  <si>
    <t>4533</t>
  </si>
  <si>
    <t>1464</t>
  </si>
  <si>
    <t>1671</t>
  </si>
  <si>
    <t>6370</t>
  </si>
  <si>
    <t>3041</t>
  </si>
  <si>
    <t>7740</t>
  </si>
  <si>
    <t>6259</t>
  </si>
  <si>
    <t>3024</t>
  </si>
  <si>
    <t>3621</t>
  </si>
  <si>
    <t>2371</t>
  </si>
  <si>
    <t>7457</t>
  </si>
  <si>
    <t>4998</t>
  </si>
  <si>
    <t>4732</t>
  </si>
  <si>
    <t>2206</t>
  </si>
  <si>
    <t>5184</t>
  </si>
  <si>
    <t>3020</t>
  </si>
  <si>
    <t>4997</t>
  </si>
  <si>
    <t>1578</t>
  </si>
  <si>
    <t>1434</t>
  </si>
  <si>
    <t>5494</t>
  </si>
  <si>
    <t>3813</t>
  </si>
  <si>
    <t>5644</t>
  </si>
  <si>
    <t>2160</t>
  </si>
  <si>
    <t>3072</t>
  </si>
  <si>
    <t>4465</t>
  </si>
  <si>
    <t>7108</t>
  </si>
  <si>
    <t>1479</t>
  </si>
  <si>
    <t>5264</t>
  </si>
  <si>
    <t>5209</t>
  </si>
  <si>
    <t>4252</t>
  </si>
  <si>
    <t>6468</t>
  </si>
  <si>
    <t>7960</t>
  </si>
  <si>
    <t>5689</t>
  </si>
  <si>
    <t>2824</t>
  </si>
  <si>
    <t>4209</t>
  </si>
  <si>
    <t>2902</t>
  </si>
  <si>
    <t>1186</t>
  </si>
  <si>
    <t>7092</t>
  </si>
  <si>
    <t>7132</t>
  </si>
  <si>
    <t>7807</t>
  </si>
  <si>
    <t>8390</t>
  </si>
  <si>
    <t>1619</t>
  </si>
  <si>
    <t>2248</t>
  </si>
  <si>
    <t>1469</t>
  </si>
  <si>
    <t>5351</t>
  </si>
  <si>
    <t>4615</t>
  </si>
  <si>
    <t>3176</t>
  </si>
  <si>
    <t>6950</t>
  </si>
  <si>
    <t>6366</t>
  </si>
  <si>
    <t>2721</t>
  </si>
  <si>
    <t>6470</t>
  </si>
  <si>
    <t>7070</t>
  </si>
  <si>
    <t>2463</t>
  </si>
  <si>
    <t>6711</t>
  </si>
  <si>
    <t>7325</t>
  </si>
  <si>
    <t>3366</t>
  </si>
  <si>
    <t>1393</t>
  </si>
  <si>
    <t>1915</t>
  </si>
  <si>
    <t>6450</t>
  </si>
  <si>
    <t>8277</t>
  </si>
  <si>
    <t>4361</t>
  </si>
  <si>
    <t>8026</t>
  </si>
  <si>
    <t>6782</t>
  </si>
  <si>
    <t>7860</t>
  </si>
  <si>
    <t>3730</t>
  </si>
  <si>
    <t>3956</t>
  </si>
  <si>
    <t>4368</t>
  </si>
  <si>
    <t>5919</t>
  </si>
  <si>
    <t>1303</t>
  </si>
  <si>
    <t>1324</t>
  </si>
  <si>
    <t>7073</t>
  </si>
  <si>
    <t>1372</t>
  </si>
  <si>
    <t>5545</t>
  </si>
  <si>
    <t>6795</t>
  </si>
  <si>
    <t>1506</t>
  </si>
  <si>
    <t>3252</t>
  </si>
  <si>
    <t>2611</t>
  </si>
  <si>
    <t>2304</t>
  </si>
  <si>
    <t>7382</t>
  </si>
  <si>
    <t>6530</t>
  </si>
  <si>
    <t>2155</t>
  </si>
  <si>
    <t>7271</t>
  </si>
  <si>
    <t>6446</t>
  </si>
  <si>
    <t>4091</t>
  </si>
  <si>
    <t>5858</t>
  </si>
  <si>
    <t>7623</t>
  </si>
  <si>
    <t>6930</t>
  </si>
  <si>
    <t>1338</t>
  </si>
  <si>
    <t>6560</t>
  </si>
  <si>
    <t>1663</t>
  </si>
  <si>
    <t>2002</t>
  </si>
  <si>
    <t>3981</t>
  </si>
  <si>
    <t>7395</t>
  </si>
  <si>
    <t>6668</t>
  </si>
  <si>
    <t>1672</t>
  </si>
  <si>
    <t>7520</t>
  </si>
  <si>
    <t>7393</t>
  </si>
  <si>
    <t>3595</t>
  </si>
  <si>
    <t>4404</t>
  </si>
  <si>
    <t>3903</t>
  </si>
  <si>
    <t>5666</t>
  </si>
  <si>
    <t>2120</t>
  </si>
  <si>
    <t>6761</t>
  </si>
  <si>
    <t>6650</t>
  </si>
  <si>
    <t>3334</t>
  </si>
  <si>
    <t>1417</t>
  </si>
  <si>
    <t>3276</t>
  </si>
  <si>
    <t>1821</t>
  </si>
  <si>
    <t>3047</t>
  </si>
  <si>
    <t>2253</t>
  </si>
  <si>
    <t>1207</t>
  </si>
  <si>
    <t>5121</t>
  </si>
  <si>
    <t>5373</t>
  </si>
  <si>
    <t>2326</t>
  </si>
  <si>
    <t>7971</t>
  </si>
  <si>
    <t>6152</t>
  </si>
  <si>
    <t>2489</t>
  </si>
  <si>
    <t>4193</t>
  </si>
  <si>
    <t>3746</t>
  </si>
  <si>
    <t>3576</t>
  </si>
  <si>
    <t>6225</t>
  </si>
  <si>
    <t>4817</t>
  </si>
  <si>
    <t>7327</t>
  </si>
  <si>
    <t>3210</t>
  </si>
  <si>
    <t>2386</t>
  </si>
  <si>
    <t>5690</t>
  </si>
  <si>
    <t>1779</t>
  </si>
  <si>
    <t>7025</t>
  </si>
  <si>
    <t>2351</t>
  </si>
  <si>
    <t>6464</t>
  </si>
  <si>
    <t>5198</t>
  </si>
  <si>
    <t>7381</t>
  </si>
  <si>
    <t>7728</t>
  </si>
  <si>
    <t>5738</t>
  </si>
  <si>
    <t>3386</t>
  </si>
  <si>
    <t>4754</t>
  </si>
  <si>
    <t>6539</t>
  </si>
  <si>
    <t>6149</t>
  </si>
  <si>
    <t>4300</t>
  </si>
  <si>
    <t>3207</t>
  </si>
  <si>
    <t>7088</t>
  </si>
  <si>
    <t>1371</t>
  </si>
  <si>
    <t>3647</t>
  </si>
  <si>
    <t>3175</t>
  </si>
  <si>
    <t>4962</t>
  </si>
  <si>
    <t>Vírgula</t>
  </si>
  <si>
    <t>9999</t>
  </si>
  <si>
    <t>Ferreira</t>
  </si>
  <si>
    <t>1)Valor Total em Estoque</t>
  </si>
  <si>
    <t>Total Geral</t>
  </si>
  <si>
    <t>Valor Total</t>
  </si>
  <si>
    <t>2)Top 5 Produtos por Valor</t>
  </si>
  <si>
    <t>3)Estoque por Estado</t>
  </si>
  <si>
    <t>4)Valor por Marca</t>
  </si>
  <si>
    <t>Dias para Vencer</t>
  </si>
  <si>
    <t>Classificação</t>
  </si>
  <si>
    <t>OK</t>
  </si>
  <si>
    <t>Risco de Vencimento</t>
  </si>
  <si>
    <t>Vencido</t>
  </si>
  <si>
    <t>Valor Total em Estoque</t>
  </si>
  <si>
    <t>Quantidade em Estoque</t>
  </si>
  <si>
    <t>5)Produtos com Risco de Vencimento (Quantidade Estoque)</t>
  </si>
  <si>
    <t>Classificação de Validade</t>
  </si>
  <si>
    <t>6)Produtos com Risco de Vencimento (Valor Total)</t>
  </si>
  <si>
    <t>7)Preço Médio por Marca</t>
  </si>
  <si>
    <t>Média de Valor Unitário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</si>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</sst>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7">
    <xf numFmtId="0" fontId="0" fillId="0" borderId="0" xfId="0"/>
    <xf numFmtId="164" fontId="0" fillId="0" borderId="0" xfId="0" applyNumberFormat="1" applyFill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 applyBorder="1" applyAlignment="1">
      <alignment horizontal="left"/>
    </xf>
    <xf numFmtId="14" fontId="0" fillId="0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Border="1" applyAlignment="1">
      <alignment horizontal="left"/>
    </xf>
    <xf numFmtId="164" fontId="0" fillId="2" borderId="0" xfId="0" applyNumberFormat="1" applyFill="1" applyAlignment="1">
      <alignment horizontal="left"/>
    </xf>
    <xf numFmtId="14" fontId="0" fillId="2" borderId="0" xfId="0" applyNumberFormat="1" applyFill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NumberFormat="1" applyBorder="1"/>
    <xf numFmtId="0" fontId="0" fillId="0" borderId="1" xfId="0" applyNumberFormat="1" applyBorder="1"/>
    <xf numFmtId="0" fontId="0" fillId="0" borderId="1" xfId="0" applyBorder="1"/>
    <xf numFmtId="0" fontId="0" fillId="0" borderId="7" xfId="0" applyNumberFormat="1" applyBorder="1"/>
    <xf numFmtId="0" fontId="0" fillId="0" borderId="8" xfId="0" applyNumberFormat="1" applyBorder="1"/>
    <xf numFmtId="44" fontId="0" fillId="0" borderId="1" xfId="1" applyFont="1" applyBorder="1"/>
    <xf numFmtId="44" fontId="0" fillId="0" borderId="8" xfId="1" applyFont="1" applyBorder="1"/>
    <xf numFmtId="14" fontId="0" fillId="0" borderId="1" xfId="0" applyNumberFormat="1" applyBorder="1"/>
    <xf numFmtId="14" fontId="0" fillId="0" borderId="8" xfId="0" applyNumberFormat="1" applyBorder="1"/>
    <xf numFmtId="44" fontId="0" fillId="0" borderId="6" xfId="0" applyNumberFormat="1" applyBorder="1"/>
    <xf numFmtId="44" fontId="0" fillId="0" borderId="9" xfId="0" applyNumberFormat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44" fontId="0" fillId="0" borderId="1" xfId="0" applyNumberFormat="1" applyBorder="1"/>
    <xf numFmtId="3" fontId="0" fillId="0" borderId="1" xfId="0" applyNumberFormat="1" applyBorder="1"/>
    <xf numFmtId="3" fontId="0" fillId="0" borderId="8" xfId="0" applyNumberFormat="1" applyBorder="1"/>
    <xf numFmtId="44" fontId="0" fillId="0" borderId="1" xfId="0" applyNumberFormat="1" applyFill="1" applyBorder="1"/>
    <xf numFmtId="0" fontId="0" fillId="0" borderId="1" xfId="0" applyFont="1" applyFill="1" applyBorder="1"/>
    <xf numFmtId="44" fontId="0" fillId="3" borderId="1" xfId="0" applyNumberFormat="1" applyFill="1" applyBorder="1"/>
    <xf numFmtId="1" fontId="0" fillId="0" borderId="1" xfId="0" applyNumberFormat="1" applyBorder="1"/>
    <xf numFmtId="0" fontId="0" fillId="0" borderId="10" xfId="0" applyFill="1" applyBorder="1" applyAlignment="1">
      <alignment horizontal="left"/>
    </xf>
    <xf numFmtId="0" fontId="0" fillId="0" borderId="10" xfId="0" applyBorder="1" applyAlignment="1">
      <alignment horizontal="left"/>
    </xf>
  </cellXfs>
  <cellStyles count="2">
    <cellStyle name="Moeda" xfId="1" builtinId="4"/>
    <cellStyle name="Normal" xfId="0" builtinId="0"/>
  </cellStyles>
  <dxfs count="209"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numFmt numFmtId="0" formatCode="General"/>
      <fill>
        <patternFill patternType="none">
          <fgColor indexed="64"/>
          <bgColor indexed="65"/>
        </patternFill>
      </fill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numFmt numFmtId="0" formatCode="General"/>
      <fill>
        <patternFill patternType="none">
          <fgColor indexed="64"/>
          <bgColor indexed="65"/>
        </patternFill>
      </fill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numFmt numFmtId="0" formatCode="General"/>
      <fill>
        <patternFill patternType="none">
          <fgColor indexed="64"/>
          <bgColor indexed="65"/>
        </patternFill>
      </fill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numFmt numFmtId="0" formatCode="General"/>
      <fill>
        <patternFill patternType="none">
          <fgColor indexed="64"/>
          <bgColor indexed="65"/>
        </patternFill>
      </fill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  <fill>
        <patternFill patternType="none">
          <fgColor indexed="64"/>
          <bgColor indexed="65"/>
        </patternFill>
      </fill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olas" refreshedDate="46110.72483958333" createdVersion="7" refreshedVersion="7" minRefreshableVersion="3" recordCount="244" xr:uid="{335365D1-7406-4657-B920-D6698D1A2CB1}">
  <cacheSource type="worksheet">
    <worksheetSource name="Estoque"/>
  </cacheSource>
  <cacheFields count="12">
    <cacheField name="Produto" numFmtId="0">
      <sharedItems count="20">
        <s v="P"/>
        <s v="B"/>
        <s v="H"/>
        <s v="C"/>
        <s v="R"/>
        <s v="O"/>
        <s v="E"/>
        <s v="G"/>
        <s v="F"/>
        <s v="L"/>
        <s v="D"/>
        <s v="J"/>
        <s v="K"/>
        <s v="I"/>
        <s v="A"/>
        <s v="M"/>
        <s v="Q"/>
        <s v="S"/>
        <s v="N"/>
        <s v=" " u="1"/>
      </sharedItems>
    </cacheField>
    <cacheField name="Marca" numFmtId="0">
      <sharedItems count="11">
        <s v="Martins"/>
        <s v="Lambda"/>
        <s v="Gama"/>
        <s v="Alfa"/>
        <s v="Capa"/>
        <s v="Delta"/>
        <s v="Beta"/>
        <s v="Épsilon"/>
        <s v="Sigma"/>
        <s v="Vírgula"/>
        <s v="Ferreira"/>
      </sharedItems>
    </cacheField>
    <cacheField name="Lote" numFmtId="0">
      <sharedItems/>
    </cacheField>
    <cacheField name="País Origem" numFmtId="0">
      <sharedItems/>
    </cacheField>
    <cacheField name="Endereço" numFmtId="0">
      <sharedItems/>
    </cacheField>
    <cacheField name="Estado" numFmtId="0">
      <sharedItems count="11">
        <s v="Aracaju"/>
        <s v="Pequim"/>
        <s v="São Paulo"/>
        <s v="Cordoba"/>
        <s v="Rio de Janeiro"/>
        <s v="Mendonza"/>
        <s v="Buenos Aires"/>
        <s v="Bariloche"/>
        <s v="Xangai"/>
        <s v="Florida"/>
        <s v="Califórina"/>
      </sharedItems>
    </cacheField>
    <cacheField name="Qtd Estoque" numFmtId="3">
      <sharedItems containsSemiMixedTypes="0" containsString="0" containsNumber="1" containsInteger="1" minValue="1029" maxValue="9963"/>
    </cacheField>
    <cacheField name="Valor Unitário" numFmtId="44">
      <sharedItems containsSemiMixedTypes="0" containsString="0" containsNumber="1" minValue="1.52" maxValue="9.24"/>
    </cacheField>
    <cacheField name="Validade" numFmtId="14">
      <sharedItems containsSemiMixedTypes="0" containsNonDate="0" containsDate="1" containsString="0" minDate="2024-01-03T00:00:00" maxDate="2027-12-24T00:00:00" count="226">
        <d v="2026-06-13T00:00:00"/>
        <d v="2025-01-02T00:00:00"/>
        <d v="2026-08-11T00:00:00"/>
        <d v="2024-12-23T00:00:00"/>
        <d v="2027-02-07T00:00:00"/>
        <d v="2027-09-27T00:00:00"/>
        <d v="2026-03-08T00:00:00"/>
        <d v="2026-07-13T00:00:00"/>
        <d v="2025-02-10T00:00:00"/>
        <d v="2026-08-26T00:00:00"/>
        <d v="2024-12-01T00:00:00"/>
        <d v="2024-03-09T00:00:00"/>
        <d v="2027-09-24T00:00:00"/>
        <d v="2024-06-10T00:00:00"/>
        <d v="2027-03-19T00:00:00"/>
        <d v="2026-03-30T00:00:00"/>
        <d v="2024-11-12T00:00:00"/>
        <d v="2024-12-19T00:00:00"/>
        <d v="2025-06-25T00:00:00"/>
        <d v="2026-06-06T00:00:00"/>
        <d v="2025-02-01T00:00:00"/>
        <d v="2025-09-07T00:00:00"/>
        <d v="2025-08-13T00:00:00"/>
        <d v="2025-01-10T00:00:00"/>
        <d v="2024-08-08T00:00:00"/>
        <d v="2025-03-15T00:00:00"/>
        <d v="2027-07-21T00:00:00"/>
        <d v="2025-08-05T00:00:00"/>
        <d v="2026-03-02T00:00:00"/>
        <d v="2025-12-19T00:00:00"/>
        <d v="2025-05-05T00:00:00"/>
        <d v="2026-09-23T00:00:00"/>
        <d v="2024-09-30T00:00:00"/>
        <d v="2026-05-18T00:00:00"/>
        <d v="2025-09-06T00:00:00"/>
        <d v="2027-10-13T00:00:00"/>
        <d v="2024-08-23T00:00:00"/>
        <d v="2026-10-20T00:00:00"/>
        <d v="2027-12-03T00:00:00"/>
        <d v="2027-03-10T00:00:00"/>
        <d v="2027-01-23T00:00:00"/>
        <d v="2025-03-13T00:00:00"/>
        <d v="2024-04-01T00:00:00"/>
        <d v="2026-03-12T00:00:00"/>
        <d v="2025-03-26T00:00:00"/>
        <d v="2024-08-27T00:00:00"/>
        <d v="2024-11-16T00:00:00"/>
        <d v="2024-07-29T00:00:00"/>
        <d v="2025-06-23T00:00:00"/>
        <d v="2027-07-13T00:00:00"/>
        <d v="2027-05-24T00:00:00"/>
        <d v="2025-02-11T00:00:00"/>
        <d v="2027-07-25T00:00:00"/>
        <d v="2027-02-13T00:00:00"/>
        <d v="2026-06-14T00:00:00"/>
        <d v="2025-05-17T00:00:00"/>
        <d v="2024-05-28T00:00:00"/>
        <d v="2024-05-29T00:00:00"/>
        <d v="2027-04-13T00:00:00"/>
        <d v="2024-08-31T00:00:00"/>
        <d v="2027-01-12T00:00:00"/>
        <d v="2026-05-07T00:00:00"/>
        <d v="2024-02-07T00:00:00"/>
        <d v="2025-02-18T00:00:00"/>
        <d v="2025-01-03T00:00:00"/>
        <d v="2025-12-02T00:00:00"/>
        <d v="2027-12-12T00:00:00"/>
        <d v="2026-09-02T00:00:00"/>
        <d v="2026-10-15T00:00:00"/>
        <d v="2024-09-26T00:00:00"/>
        <d v="2027-01-17T00:00:00"/>
        <d v="2026-10-10T00:00:00"/>
        <d v="2024-02-03T00:00:00"/>
        <d v="2027-04-26T00:00:00"/>
        <d v="2027-04-18T00:00:00"/>
        <d v="2027-03-09T00:00:00"/>
        <d v="2025-12-11T00:00:00"/>
        <d v="2026-12-19T00:00:00"/>
        <d v="2024-04-09T00:00:00"/>
        <d v="2026-05-27T00:00:00"/>
        <d v="2024-02-22T00:00:00"/>
        <d v="2024-06-02T00:00:00"/>
        <d v="2024-01-11T00:00:00"/>
        <d v="2024-05-14T00:00:00"/>
        <d v="2026-02-23T00:00:00"/>
        <d v="2026-09-17T00:00:00"/>
        <d v="2026-12-08T00:00:00"/>
        <d v="2027-05-20T00:00:00"/>
        <d v="2025-11-07T00:00:00"/>
        <d v="2024-03-03T00:00:00"/>
        <d v="2024-11-09T00:00:00"/>
        <d v="2026-11-28T00:00:00"/>
        <d v="2026-02-28T00:00:00"/>
        <d v="2026-06-04T00:00:00"/>
        <d v="2024-08-03T00:00:00"/>
        <d v="2024-11-27T00:00:00"/>
        <d v="2027-04-20T00:00:00"/>
        <d v="2026-10-18T00:00:00"/>
        <d v="2025-03-25T00:00:00"/>
        <d v="2027-08-21T00:00:00"/>
        <d v="2026-03-03T00:00:00"/>
        <d v="2024-07-01T00:00:00"/>
        <d v="2024-01-30T00:00:00"/>
        <d v="2027-02-04T00:00:00"/>
        <d v="2026-02-14T00:00:00"/>
        <d v="2027-12-10T00:00:00"/>
        <d v="2024-10-25T00:00:00"/>
        <d v="2026-04-12T00:00:00"/>
        <d v="2025-10-24T00:00:00"/>
        <d v="2027-09-26T00:00:00"/>
        <d v="2025-05-09T00:00:00"/>
        <d v="2027-02-28T00:00:00"/>
        <d v="2026-08-29T00:00:00"/>
        <d v="2027-04-27T00:00:00"/>
        <d v="2025-04-09T00:00:00"/>
        <d v="2026-08-18T00:00:00"/>
        <d v="2027-12-23T00:00:00"/>
        <d v="2027-01-10T00:00:00"/>
        <d v="2024-07-31T00:00:00"/>
        <d v="2025-08-24T00:00:00"/>
        <d v="2026-02-09T00:00:00"/>
        <d v="2027-07-04T00:00:00"/>
        <d v="2027-11-29T00:00:00"/>
        <d v="2027-08-08T00:00:00"/>
        <d v="2024-08-16T00:00:00"/>
        <d v="2026-02-12T00:00:00"/>
        <d v="2025-12-13T00:00:00"/>
        <d v="2026-12-11T00:00:00"/>
        <d v="2025-12-21T00:00:00"/>
        <d v="2027-02-27T00:00:00"/>
        <d v="2027-06-20T00:00:00"/>
        <d v="2025-04-04T00:00:00"/>
        <d v="2025-10-27T00:00:00"/>
        <d v="2027-05-12T00:00:00"/>
        <d v="2027-10-27T00:00:00"/>
        <d v="2024-05-27T00:00:00"/>
        <d v="2025-09-16T00:00:00"/>
        <d v="2024-08-20T00:00:00"/>
        <d v="2027-08-07T00:00:00"/>
        <d v="2027-07-05T00:00:00"/>
        <d v="2027-08-09T00:00:00"/>
        <d v="2027-02-21T00:00:00"/>
        <d v="2024-09-16T00:00:00"/>
        <d v="2025-03-09T00:00:00"/>
        <d v="2025-10-30T00:00:00"/>
        <d v="2026-01-17T00:00:00"/>
        <d v="2027-03-29T00:00:00"/>
        <d v="2027-06-03T00:00:00"/>
        <d v="2026-12-22T00:00:00"/>
        <d v="2025-08-20T00:00:00"/>
        <d v="2024-03-10T00:00:00"/>
        <d v="2027-04-09T00:00:00"/>
        <d v="2025-10-19T00:00:00"/>
        <d v="2024-06-04T00:00:00"/>
        <d v="2025-02-16T00:00:00"/>
        <d v="2027-05-22T00:00:00"/>
        <d v="2026-05-22T00:00:00"/>
        <d v="2027-05-30T00:00:00"/>
        <d v="2025-07-30T00:00:00"/>
        <d v="2025-11-01T00:00:00"/>
        <d v="2026-04-23T00:00:00"/>
        <d v="2024-06-07T00:00:00"/>
        <d v="2026-09-25T00:00:00"/>
        <d v="2027-11-15T00:00:00"/>
        <d v="2027-06-17T00:00:00"/>
        <d v="2025-11-11T00:00:00"/>
        <d v="2027-10-19T00:00:00"/>
        <d v="2027-06-23T00:00:00"/>
        <d v="2025-09-11T00:00:00"/>
        <d v="2027-01-03T00:00:00"/>
        <d v="2026-10-03T00:00:00"/>
        <d v="2027-11-11T00:00:00"/>
        <d v="2027-02-17T00:00:00"/>
        <d v="2026-06-01T00:00:00"/>
        <d v="2026-11-05T00:00:00"/>
        <d v="2024-10-19T00:00:00"/>
        <d v="2027-05-29T00:00:00"/>
        <d v="2025-12-07T00:00:00"/>
        <d v="2024-11-24T00:00:00"/>
        <d v="2024-01-14T00:00:00"/>
        <d v="2024-10-16T00:00:00"/>
        <d v="2024-09-14T00:00:00"/>
        <d v="2027-07-23T00:00:00"/>
        <d v="2024-05-23T00:00:00"/>
        <d v="2026-10-04T00:00:00"/>
        <d v="2024-05-01T00:00:00"/>
        <d v="2025-02-24T00:00:00"/>
        <d v="2027-12-02T00:00:00"/>
        <d v="2025-09-30T00:00:00"/>
        <d v="2025-06-05T00:00:00"/>
        <d v="2025-01-09T00:00:00"/>
        <d v="2027-12-01T00:00:00"/>
        <d v="2025-02-15T00:00:00"/>
        <d v="2024-07-03T00:00:00"/>
        <d v="2024-01-03T00:00:00"/>
        <d v="2027-05-05T00:00:00"/>
        <d v="2026-08-05T00:00:00"/>
        <d v="2025-01-01T00:00:00"/>
        <d v="2026-02-18T00:00:00"/>
        <d v="2026-04-17T00:00:00"/>
        <d v="2026-03-05T00:00:00"/>
        <d v="2027-11-25T00:00:00"/>
        <d v="2024-06-22T00:00:00"/>
        <d v="2026-07-30T00:00:00"/>
        <d v="2024-08-12T00:00:00"/>
        <d v="2025-10-25T00:00:00"/>
        <d v="2027-04-28T00:00:00"/>
        <d v="2025-05-11T00:00:00"/>
        <d v="2025-07-29T00:00:00"/>
        <d v="2026-01-31T00:00:00"/>
        <d v="2027-02-12T00:00:00"/>
        <d v="2027-01-04T00:00:00"/>
        <d v="2024-06-30T00:00:00"/>
        <d v="2024-06-06T00:00:00"/>
        <d v="2024-02-08T00:00:00"/>
        <d v="2025-02-03T00:00:00"/>
        <d v="2027-02-20T00:00:00"/>
        <d v="2027-09-28T00:00:00"/>
        <d v="2024-02-02T00:00:00"/>
        <d v="2025-05-04T00:00:00"/>
        <d v="2026-08-15T00:00:00"/>
        <d v="2026-12-24T00:00:00"/>
        <d v="2025-09-24T00:00:00"/>
        <d v="2024-12-13T00:00:00"/>
        <d v="2025-03-21T00:00:00"/>
        <d v="2024-12-21T00:00:00"/>
      </sharedItems>
      <fieldGroup base="8">
        <rangePr groupBy="days" startDate="2024-01-03T00:00:00" endDate="2027-12-24T00:00:00"/>
        <groupItems count="368">
          <s v="&lt;03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24/12/2027"/>
        </groupItems>
      </fieldGroup>
    </cacheField>
    <cacheField name="Valor Total" numFmtId="44">
      <sharedItems containsSemiMixedTypes="0" containsString="0" containsNumber="1" minValue="2120.4" maxValue="85978.64"/>
    </cacheField>
    <cacheField name="Dias para Vencer" numFmtId="1">
      <sharedItems containsSemiMixedTypes="0" containsString="0" containsNumber="1" containsInteger="1" minValue="-816" maxValue="634"/>
    </cacheField>
    <cacheField name="Classificação" numFmtId="0">
      <sharedItems count="3">
        <s v="OK"/>
        <s v="Vencido"/>
        <s v="Risco de Venciment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4">
  <r>
    <x v="0"/>
    <x v="0"/>
    <s v="5555"/>
    <s v="Brasil"/>
    <s v="Rua do Microfone, 56 - Aracaju, Brasil"/>
    <x v="0"/>
    <n v="3000"/>
    <n v="3"/>
    <x v="0"/>
    <n v="9000"/>
    <n v="76"/>
    <x v="0"/>
  </r>
  <r>
    <x v="1"/>
    <x v="1"/>
    <s v="7447"/>
    <s v="China"/>
    <s v="Wangfujing 12456 - Pequim, China"/>
    <x v="1"/>
    <n v="5557"/>
    <n v="9.24"/>
    <x v="1"/>
    <n v="51346.68"/>
    <n v="-451"/>
    <x v="1"/>
  </r>
  <r>
    <x v="2"/>
    <x v="2"/>
    <s v="7129"/>
    <s v="Brasil"/>
    <s v="Rua Líbero Badaró, 425. Bairro Sé - São Paulo, Brasil"/>
    <x v="2"/>
    <n v="1184"/>
    <n v="2.48"/>
    <x v="2"/>
    <n v="2936.32"/>
    <n v="135"/>
    <x v="0"/>
  </r>
  <r>
    <x v="3"/>
    <x v="2"/>
    <s v="5155"/>
    <s v="Argentina"/>
    <s v="Marcelo T. de Alvear 120 - Cordoba, Argentina"/>
    <x v="3"/>
    <n v="5974"/>
    <n v="9.02"/>
    <x v="3"/>
    <n v="53885.479999999996"/>
    <n v="-461"/>
    <x v="1"/>
  </r>
  <r>
    <x v="2"/>
    <x v="3"/>
    <s v="3667"/>
    <s v="Brasil"/>
    <s v="Rua Líbero Badaró, 425. Bairro Sé - São Paulo, Brasil"/>
    <x v="2"/>
    <n v="3014"/>
    <n v="3.16"/>
    <x v="4"/>
    <n v="9524.24"/>
    <n v="315"/>
    <x v="0"/>
  </r>
  <r>
    <x v="2"/>
    <x v="4"/>
    <s v="4451"/>
    <s v="Brasil"/>
    <s v="Rua Amoroso Lima, 15 - Cidade Nova - Rio de Janeiro, Brasil"/>
    <x v="4"/>
    <n v="5172"/>
    <n v="7.41"/>
    <x v="5"/>
    <n v="38324.520000000004"/>
    <n v="547"/>
    <x v="0"/>
  </r>
  <r>
    <x v="4"/>
    <x v="2"/>
    <s v="3338"/>
    <s v="Argentina"/>
    <s v="9 de Julio 500 - Mendonza, Argentina"/>
    <x v="5"/>
    <n v="9616"/>
    <n v="7.42"/>
    <x v="6"/>
    <n v="71350.720000000001"/>
    <n v="-21"/>
    <x v="1"/>
  </r>
  <r>
    <x v="4"/>
    <x v="3"/>
    <s v="6092"/>
    <s v="Brasil"/>
    <s v="Rua Amoroso Lima, 15 - Cidade Nova - Rio de Janeiro, Brasil"/>
    <x v="4"/>
    <n v="6623"/>
    <n v="9.24"/>
    <x v="7"/>
    <n v="61196.520000000004"/>
    <n v="106"/>
    <x v="0"/>
  </r>
  <r>
    <x v="5"/>
    <x v="5"/>
    <s v="2044"/>
    <s v="Argentina"/>
    <s v="9 de Julio 500 - Mendonza, Argentina"/>
    <x v="5"/>
    <n v="6709"/>
    <n v="5.86"/>
    <x v="8"/>
    <n v="39314.740000000005"/>
    <n v="-412"/>
    <x v="1"/>
  </r>
  <r>
    <x v="3"/>
    <x v="5"/>
    <s v="4377"/>
    <s v="Argentina"/>
    <s v="Felipe Vallese 100 - Buenos Aires, Argentina"/>
    <x v="6"/>
    <n v="6859"/>
    <n v="2.0299999999999998"/>
    <x v="9"/>
    <n v="13923.769999999999"/>
    <n v="150"/>
    <x v="0"/>
  </r>
  <r>
    <x v="6"/>
    <x v="5"/>
    <s v="3660"/>
    <s v="Argentina"/>
    <s v="Calle Mitre 123 - Bariloche, Argentina"/>
    <x v="7"/>
    <n v="5076"/>
    <n v="3.96"/>
    <x v="10"/>
    <n v="20100.96"/>
    <n v="-483"/>
    <x v="1"/>
  </r>
  <r>
    <x v="2"/>
    <x v="6"/>
    <s v="6121"/>
    <s v="Brasil"/>
    <s v="Rua Amoroso Lima, 15 - Cidade Nova - Rio de Janeiro, Brasil"/>
    <x v="4"/>
    <n v="7545"/>
    <n v="3.68"/>
    <x v="11"/>
    <n v="27765.600000000002"/>
    <n v="-750"/>
    <x v="1"/>
  </r>
  <r>
    <x v="1"/>
    <x v="5"/>
    <s v="5965"/>
    <s v="Argentina"/>
    <s v="Calle Mitre 123 - Bariloche, Argentina"/>
    <x v="7"/>
    <n v="7034"/>
    <n v="4.6500000000000004"/>
    <x v="12"/>
    <n v="32708.100000000002"/>
    <n v="544"/>
    <x v="0"/>
  </r>
  <r>
    <x v="7"/>
    <x v="5"/>
    <s v="8108"/>
    <s v="Brasil"/>
    <s v="Rua Amoroso Lima, 15 - Cidade Nova - Rio de Janeiro, Brasil"/>
    <x v="4"/>
    <n v="9036"/>
    <n v="4.95"/>
    <x v="13"/>
    <n v="44728.200000000004"/>
    <n v="-657"/>
    <x v="1"/>
  </r>
  <r>
    <x v="8"/>
    <x v="2"/>
    <s v="4662"/>
    <s v="China"/>
    <s v="Wangfujing 12456 - Pequim, China"/>
    <x v="1"/>
    <n v="3968"/>
    <n v="6.84"/>
    <x v="14"/>
    <n v="27141.119999999999"/>
    <n v="355"/>
    <x v="0"/>
  </r>
  <r>
    <x v="9"/>
    <x v="4"/>
    <s v="2723"/>
    <s v="China"/>
    <s v="Nanquim 123 - Xangai, China"/>
    <x v="8"/>
    <n v="9826"/>
    <n v="7.95"/>
    <x v="15"/>
    <n v="78116.7"/>
    <n v="1"/>
    <x v="2"/>
  </r>
  <r>
    <x v="10"/>
    <x v="1"/>
    <s v="4123"/>
    <s v="Brasil"/>
    <s v="Rua Líbero Badaró, 425. Bairro Sé - São Paulo, Brasil"/>
    <x v="2"/>
    <n v="7194"/>
    <n v="7.22"/>
    <x v="16"/>
    <n v="51940.68"/>
    <n v="-502"/>
    <x v="1"/>
  </r>
  <r>
    <x v="6"/>
    <x v="4"/>
    <s v="1414"/>
    <s v="China"/>
    <s v="Nanquim 123 - Xangai, China"/>
    <x v="8"/>
    <n v="7228"/>
    <n v="5.57"/>
    <x v="17"/>
    <n v="40259.96"/>
    <n v="-465"/>
    <x v="1"/>
  </r>
  <r>
    <x v="11"/>
    <x v="4"/>
    <s v="5698"/>
    <s v="Brasil"/>
    <s v="Rua Líbero Badaró, 425. Bairro Sé - São Paulo, Brasil"/>
    <x v="2"/>
    <n v="9942"/>
    <n v="5.7"/>
    <x v="18"/>
    <n v="56669.4"/>
    <n v="-277"/>
    <x v="1"/>
  </r>
  <r>
    <x v="8"/>
    <x v="7"/>
    <s v="5401"/>
    <s v="Estados Unidos"/>
    <s v="8001 S Orange Blossom Trl - Florida, United States"/>
    <x v="9"/>
    <n v="4652"/>
    <n v="6.57"/>
    <x v="19"/>
    <n v="30563.640000000003"/>
    <n v="69"/>
    <x v="0"/>
  </r>
  <r>
    <x v="12"/>
    <x v="7"/>
    <s v="7080"/>
    <s v="Brasil"/>
    <s v="Rua Amoroso Lima, 15 - Cidade Nova - Rio de Janeiro, Brasil"/>
    <x v="4"/>
    <n v="4840"/>
    <n v="5"/>
    <x v="20"/>
    <n v="24200"/>
    <n v="-421"/>
    <x v="1"/>
  </r>
  <r>
    <x v="0"/>
    <x v="1"/>
    <s v="8196"/>
    <s v="Brasil"/>
    <s v="Rua Amoroso Lima, 15 - Cidade Nova - Rio de Janeiro, Brasil"/>
    <x v="4"/>
    <n v="6986"/>
    <n v="7.59"/>
    <x v="21"/>
    <n v="53023.74"/>
    <n v="-203"/>
    <x v="1"/>
  </r>
  <r>
    <x v="13"/>
    <x v="6"/>
    <s v="4173"/>
    <s v="Estados Unidos"/>
    <s v="8001 S Orange Blossom Trl - Florida, United States"/>
    <x v="9"/>
    <n v="9273"/>
    <n v="7.16"/>
    <x v="22"/>
    <n v="66394.680000000008"/>
    <n v="-228"/>
    <x v="1"/>
  </r>
  <r>
    <x v="14"/>
    <x v="5"/>
    <s v="6367"/>
    <s v="Brasil"/>
    <s v="Rua Líbero Badaró, 425. Bairro Sé - São Paulo, Brasil"/>
    <x v="2"/>
    <n v="3044"/>
    <n v="5"/>
    <x v="23"/>
    <n v="15220"/>
    <n v="-443"/>
    <x v="1"/>
  </r>
  <r>
    <x v="6"/>
    <x v="4"/>
    <s v="5447"/>
    <s v="China"/>
    <s v="Nanquim 123 - Xangai, China"/>
    <x v="8"/>
    <n v="4361"/>
    <n v="5.57"/>
    <x v="24"/>
    <n v="24290.77"/>
    <n v="-598"/>
    <x v="1"/>
  </r>
  <r>
    <x v="0"/>
    <x v="3"/>
    <s v="5741"/>
    <s v="Argentina"/>
    <s v="Felipe Vallese 100 - Buenos Aires, Argentina"/>
    <x v="6"/>
    <n v="4528"/>
    <n v="8.16"/>
    <x v="25"/>
    <n v="36948.480000000003"/>
    <n v="-379"/>
    <x v="1"/>
  </r>
  <r>
    <x v="6"/>
    <x v="1"/>
    <s v="4050"/>
    <s v="Argentina"/>
    <s v="Marcelo T. de Alvear 120 - Cordoba, Argentina"/>
    <x v="3"/>
    <n v="9228"/>
    <n v="7.67"/>
    <x v="26"/>
    <n v="70778.759999999995"/>
    <n v="479"/>
    <x v="0"/>
  </r>
  <r>
    <x v="11"/>
    <x v="7"/>
    <s v="7079"/>
    <s v="Brasil"/>
    <s v="Rua Líbero Badaró, 425. Bairro Sé - São Paulo, Brasil"/>
    <x v="2"/>
    <n v="2323"/>
    <n v="5.76"/>
    <x v="27"/>
    <n v="13380.48"/>
    <n v="-236"/>
    <x v="1"/>
  </r>
  <r>
    <x v="11"/>
    <x v="6"/>
    <s v="6236"/>
    <s v="Brasil"/>
    <s v="Rua Amoroso Lima, 15 - Cidade Nova - Rio de Janeiro, Brasil"/>
    <x v="4"/>
    <n v="2561"/>
    <n v="5.32"/>
    <x v="28"/>
    <n v="13624.52"/>
    <n v="-27"/>
    <x v="1"/>
  </r>
  <r>
    <x v="9"/>
    <x v="2"/>
    <s v="7045"/>
    <s v="China"/>
    <s v="Nanquim 123 - Xangai, China"/>
    <x v="8"/>
    <n v="6864"/>
    <n v="4.46"/>
    <x v="29"/>
    <n v="30613.439999999999"/>
    <n v="-100"/>
    <x v="1"/>
  </r>
  <r>
    <x v="12"/>
    <x v="2"/>
    <s v="4369"/>
    <s v="Argentina"/>
    <s v="Marcelo T. de Alvear 120 - Cordoba, Argentina"/>
    <x v="3"/>
    <n v="2547"/>
    <n v="7.11"/>
    <x v="30"/>
    <n v="18109.170000000002"/>
    <n v="-328"/>
    <x v="1"/>
  </r>
  <r>
    <x v="9"/>
    <x v="6"/>
    <s v="6591"/>
    <s v="China"/>
    <s v="Nanquim 123 - Xangai, China"/>
    <x v="8"/>
    <n v="6975"/>
    <n v="9.1999999999999993"/>
    <x v="31"/>
    <n v="64169.999999999993"/>
    <n v="178"/>
    <x v="0"/>
  </r>
  <r>
    <x v="9"/>
    <x v="1"/>
    <s v="7970"/>
    <s v="Argentina"/>
    <s v="Felipe Vallese 100 - Buenos Aires, Argentina"/>
    <x v="6"/>
    <n v="4235"/>
    <n v="8.59"/>
    <x v="32"/>
    <n v="36378.65"/>
    <n v="-545"/>
    <x v="1"/>
  </r>
  <r>
    <x v="5"/>
    <x v="8"/>
    <s v="7916"/>
    <s v="Brasil"/>
    <s v="Rua Líbero Badaró, 425. Bairro Sé - São Paulo, Brasil"/>
    <x v="2"/>
    <n v="6979"/>
    <n v="2.64"/>
    <x v="33"/>
    <n v="18424.560000000001"/>
    <n v="50"/>
    <x v="0"/>
  </r>
  <r>
    <x v="3"/>
    <x v="2"/>
    <s v="3508"/>
    <s v="China"/>
    <s v="Nanquim 123 - Xangai, China"/>
    <x v="8"/>
    <n v="9532"/>
    <n v="9.02"/>
    <x v="34"/>
    <n v="85978.64"/>
    <n v="-204"/>
    <x v="1"/>
  </r>
  <r>
    <x v="4"/>
    <x v="7"/>
    <s v="2369"/>
    <s v="Argentina"/>
    <s v="Calle Mitre 123 - Bariloche, Argentina"/>
    <x v="7"/>
    <n v="8515"/>
    <n v="5.79"/>
    <x v="35"/>
    <n v="49301.85"/>
    <n v="563"/>
    <x v="0"/>
  </r>
  <r>
    <x v="3"/>
    <x v="7"/>
    <s v="7548"/>
    <s v="Argentina"/>
    <s v="Marcelo T. de Alvear 120 - Cordoba, Argentina"/>
    <x v="3"/>
    <n v="9037"/>
    <n v="5"/>
    <x v="36"/>
    <n v="45185"/>
    <n v="-583"/>
    <x v="1"/>
  </r>
  <r>
    <x v="8"/>
    <x v="4"/>
    <s v="5638"/>
    <s v="Argentina"/>
    <s v="Felipe Vallese 100 - Buenos Aires, Argentina"/>
    <x v="6"/>
    <n v="9054"/>
    <n v="7.7"/>
    <x v="37"/>
    <n v="69715.8"/>
    <n v="205"/>
    <x v="0"/>
  </r>
  <r>
    <x v="10"/>
    <x v="2"/>
    <s v="2780"/>
    <s v="China"/>
    <s v="Wangfujing 12456 - Pequim, China"/>
    <x v="1"/>
    <n v="1695"/>
    <n v="6.08"/>
    <x v="38"/>
    <n v="10305.6"/>
    <n v="614"/>
    <x v="0"/>
  </r>
  <r>
    <x v="6"/>
    <x v="6"/>
    <s v="5569"/>
    <s v="Argentina"/>
    <s v="Marcelo T. de Alvear 120 - Cordoba, Argentina"/>
    <x v="3"/>
    <n v="9344"/>
    <n v="3.94"/>
    <x v="39"/>
    <n v="36815.360000000001"/>
    <n v="346"/>
    <x v="0"/>
  </r>
  <r>
    <x v="0"/>
    <x v="7"/>
    <s v="2383"/>
    <s v="Argentina"/>
    <s v="Calle Mitre 123 - Bariloche, Argentina"/>
    <x v="7"/>
    <n v="2278"/>
    <n v="7.52"/>
    <x v="40"/>
    <n v="17130.559999999998"/>
    <n v="300"/>
    <x v="0"/>
  </r>
  <r>
    <x v="13"/>
    <x v="6"/>
    <s v="7356"/>
    <s v="Estados Unidos"/>
    <s v="Cupertino, CA 95014 - Califórina, United States"/>
    <x v="10"/>
    <n v="5259"/>
    <n v="7.16"/>
    <x v="41"/>
    <n v="37654.44"/>
    <n v="-381"/>
    <x v="1"/>
  </r>
  <r>
    <x v="15"/>
    <x v="3"/>
    <s v="5701"/>
    <s v="Argentina"/>
    <s v="Felipe Vallese 100 - Buenos Aires, Argentina"/>
    <x v="6"/>
    <n v="3097"/>
    <n v="4.29"/>
    <x v="42"/>
    <n v="13286.130000000001"/>
    <n v="-727"/>
    <x v="1"/>
  </r>
  <r>
    <x v="9"/>
    <x v="2"/>
    <s v="1482"/>
    <s v="Brasil"/>
    <s v="Rua Líbero Badaró, 425. Bairro Sé - São Paulo, Brasil"/>
    <x v="2"/>
    <n v="1997"/>
    <n v="4.46"/>
    <x v="43"/>
    <n v="8906.6200000000008"/>
    <n v="-17"/>
    <x v="1"/>
  </r>
  <r>
    <x v="5"/>
    <x v="3"/>
    <s v="4889"/>
    <s v="China"/>
    <s v="Nanquim 123 - Xangai, China"/>
    <x v="8"/>
    <n v="7329"/>
    <n v="8.27"/>
    <x v="44"/>
    <n v="60610.829999999994"/>
    <n v="-368"/>
    <x v="1"/>
  </r>
  <r>
    <x v="3"/>
    <x v="4"/>
    <s v="3135"/>
    <s v="Brasil"/>
    <s v="Rua Amoroso Lima, 15 - Cidade Nova - Rio de Janeiro, Brasil"/>
    <x v="4"/>
    <n v="3621"/>
    <n v="8.98"/>
    <x v="45"/>
    <n v="32516.58"/>
    <n v="-579"/>
    <x v="1"/>
  </r>
  <r>
    <x v="7"/>
    <x v="2"/>
    <s v="2588"/>
    <s v="Brasil"/>
    <s v="Rua Líbero Badaró, 425. Bairro Sé - São Paulo, Brasil"/>
    <x v="2"/>
    <n v="3873"/>
    <n v="4.2699999999999996"/>
    <x v="46"/>
    <n v="16537.71"/>
    <n v="-498"/>
    <x v="1"/>
  </r>
  <r>
    <x v="11"/>
    <x v="6"/>
    <s v="3828"/>
    <s v="Argentina"/>
    <s v="9 de Julio 500 - Mendonza, Argentina"/>
    <x v="5"/>
    <n v="7209"/>
    <n v="5.32"/>
    <x v="47"/>
    <n v="38351.880000000005"/>
    <n v="-608"/>
    <x v="1"/>
  </r>
  <r>
    <x v="15"/>
    <x v="8"/>
    <s v="4895"/>
    <s v="Argentina"/>
    <s v="Marcelo T. de Alvear 120 - Cordoba, Argentina"/>
    <x v="3"/>
    <n v="1029"/>
    <n v="3.52"/>
    <x v="48"/>
    <n v="3622.08"/>
    <n v="-279"/>
    <x v="1"/>
  </r>
  <r>
    <x v="13"/>
    <x v="1"/>
    <s v="4164"/>
    <s v="Estados Unidos"/>
    <s v="8001 S Orange Blossom Trl - Florida, United States"/>
    <x v="9"/>
    <n v="6464"/>
    <n v="6.81"/>
    <x v="49"/>
    <n v="44019.839999999997"/>
    <n v="471"/>
    <x v="0"/>
  </r>
  <r>
    <x v="16"/>
    <x v="8"/>
    <s v="2341"/>
    <s v="Estados Unidos"/>
    <s v="Cupertino, CA 95014 - Califórina, United States"/>
    <x v="10"/>
    <n v="2241"/>
    <n v="6.16"/>
    <x v="50"/>
    <n v="13804.56"/>
    <n v="421"/>
    <x v="0"/>
  </r>
  <r>
    <x v="14"/>
    <x v="3"/>
    <s v="5307"/>
    <s v="Argentina"/>
    <s v="9 de Julio 500 - Mendonza, Argentina"/>
    <x v="5"/>
    <n v="2987"/>
    <n v="4.1500000000000004"/>
    <x v="51"/>
    <n v="12396.050000000001"/>
    <n v="-411"/>
    <x v="1"/>
  </r>
  <r>
    <x v="7"/>
    <x v="5"/>
    <s v="3201"/>
    <s v="Estados Unidos"/>
    <s v="8001 S Orange Blossom Trl - Florida, United States"/>
    <x v="9"/>
    <n v="8479"/>
    <n v="4.95"/>
    <x v="52"/>
    <n v="41971.05"/>
    <n v="483"/>
    <x v="0"/>
  </r>
  <r>
    <x v="2"/>
    <x v="8"/>
    <s v="4554"/>
    <s v="Estados Unidos"/>
    <s v="Cupertino, CA 95014 - Califórina, United States"/>
    <x v="10"/>
    <n v="4718"/>
    <n v="7.14"/>
    <x v="53"/>
    <n v="33686.519999999997"/>
    <n v="321"/>
    <x v="0"/>
  </r>
  <r>
    <x v="12"/>
    <x v="4"/>
    <s v="2537"/>
    <s v="Brasil"/>
    <s v="Rua Líbero Badaró, 425. Bairro Sé - São Paulo, Brasil"/>
    <x v="2"/>
    <n v="2158"/>
    <n v="9.2200000000000006"/>
    <x v="54"/>
    <n v="19896.760000000002"/>
    <n v="77"/>
    <x v="0"/>
  </r>
  <r>
    <x v="4"/>
    <x v="1"/>
    <s v="4063"/>
    <s v="Brasil"/>
    <s v="Rua Amoroso Lima, 15 - Cidade Nova - Rio de Janeiro, Brasil"/>
    <x v="4"/>
    <n v="4894"/>
    <n v="4.33"/>
    <x v="55"/>
    <n v="21191.02"/>
    <n v="-316"/>
    <x v="1"/>
  </r>
  <r>
    <x v="17"/>
    <x v="6"/>
    <s v="3627"/>
    <s v="Brasil"/>
    <s v="Rua Amoroso Lima, 15 - Cidade Nova - Rio de Janeiro, Brasil"/>
    <x v="4"/>
    <n v="9316"/>
    <n v="2.67"/>
    <x v="56"/>
    <n v="24873.719999999998"/>
    <n v="-670"/>
    <x v="1"/>
  </r>
  <r>
    <x v="14"/>
    <x v="3"/>
    <s v="2321"/>
    <s v="Argentina"/>
    <s v="Calle Mitre 123 - Bariloche, Argentina"/>
    <x v="7"/>
    <n v="3371"/>
    <n v="4.1500000000000004"/>
    <x v="57"/>
    <n v="13989.650000000001"/>
    <n v="-669"/>
    <x v="1"/>
  </r>
  <r>
    <x v="2"/>
    <x v="1"/>
    <s v="2684"/>
    <s v="Argentina"/>
    <s v="Calle Mitre 123 - Bariloche, Argentina"/>
    <x v="7"/>
    <n v="2940"/>
    <n v="2.4900000000000002"/>
    <x v="58"/>
    <n v="7320.6"/>
    <n v="380"/>
    <x v="0"/>
  </r>
  <r>
    <x v="3"/>
    <x v="8"/>
    <s v="7123"/>
    <s v="Brasil"/>
    <s v="Rua Líbero Badaró, 425. Bairro Sé - São Paulo, Brasil"/>
    <x v="2"/>
    <n v="9283"/>
    <n v="7.45"/>
    <x v="59"/>
    <n v="69158.350000000006"/>
    <n v="-575"/>
    <x v="1"/>
  </r>
  <r>
    <x v="10"/>
    <x v="5"/>
    <s v="8114"/>
    <s v="Brasil"/>
    <s v="Rua Líbero Badaró, 425. Bairro Sé - São Paulo, Brasil"/>
    <x v="2"/>
    <n v="8554"/>
    <n v="7.52"/>
    <x v="60"/>
    <n v="64326.079999999994"/>
    <n v="289"/>
    <x v="0"/>
  </r>
  <r>
    <x v="11"/>
    <x v="4"/>
    <s v="8229"/>
    <s v="China"/>
    <s v="Nanquim 123 - Xangai, China"/>
    <x v="8"/>
    <n v="4375"/>
    <n v="5.7"/>
    <x v="61"/>
    <n v="24937.5"/>
    <n v="39"/>
    <x v="0"/>
  </r>
  <r>
    <x v="2"/>
    <x v="5"/>
    <s v="2880"/>
    <s v="Argentina"/>
    <s v="Marcelo T. de Alvear 120 - Cordoba, Argentina"/>
    <x v="3"/>
    <n v="5547"/>
    <n v="3.64"/>
    <x v="62"/>
    <n v="20191.080000000002"/>
    <n v="-781"/>
    <x v="1"/>
  </r>
  <r>
    <x v="13"/>
    <x v="4"/>
    <s v="4989"/>
    <s v="Brasil"/>
    <s v="Rua Líbero Badaró, 425. Bairro Sé - São Paulo, Brasil"/>
    <x v="2"/>
    <n v="8234"/>
    <n v="3.09"/>
    <x v="63"/>
    <n v="25443.059999999998"/>
    <n v="-404"/>
    <x v="1"/>
  </r>
  <r>
    <x v="3"/>
    <x v="1"/>
    <s v="7867"/>
    <s v="China"/>
    <s v="Nanquim 123 - Xangai, China"/>
    <x v="8"/>
    <n v="8348"/>
    <n v="3.05"/>
    <x v="64"/>
    <n v="25461.399999999998"/>
    <n v="-450"/>
    <x v="1"/>
  </r>
  <r>
    <x v="10"/>
    <x v="5"/>
    <s v="4301"/>
    <s v="Argentina"/>
    <s v="Calle Mitre 123 - Bariloche, Argentina"/>
    <x v="7"/>
    <n v="8822"/>
    <n v="7.52"/>
    <x v="65"/>
    <n v="66341.440000000002"/>
    <n v="-117"/>
    <x v="1"/>
  </r>
  <r>
    <x v="15"/>
    <x v="4"/>
    <s v="8048"/>
    <s v="Estados Unidos"/>
    <s v="8001 S Orange Blossom Trl - Florida, United States"/>
    <x v="9"/>
    <n v="4707"/>
    <n v="7.74"/>
    <x v="66"/>
    <n v="36432.18"/>
    <n v="623"/>
    <x v="0"/>
  </r>
  <r>
    <x v="14"/>
    <x v="8"/>
    <s v="2387"/>
    <s v="Argentina"/>
    <s v="Felipe Vallese 100 - Buenos Aires, Argentina"/>
    <x v="6"/>
    <n v="7380"/>
    <n v="6.76"/>
    <x v="67"/>
    <n v="49888.799999999996"/>
    <n v="157"/>
    <x v="0"/>
  </r>
  <r>
    <x v="4"/>
    <x v="3"/>
    <s v="8104"/>
    <s v="Brasil"/>
    <s v="Rua Amoroso Lima, 15 - Cidade Nova - Rio de Janeiro, Brasil"/>
    <x v="4"/>
    <n v="7608"/>
    <n v="9.24"/>
    <x v="68"/>
    <n v="70297.919999999998"/>
    <n v="200"/>
    <x v="0"/>
  </r>
  <r>
    <x v="8"/>
    <x v="5"/>
    <s v="5804"/>
    <s v="China"/>
    <s v="Nanquim 123 - Xangai, China"/>
    <x v="8"/>
    <n v="5242"/>
    <n v="2.14"/>
    <x v="69"/>
    <n v="11217.880000000001"/>
    <n v="-549"/>
    <x v="1"/>
  </r>
  <r>
    <x v="14"/>
    <x v="3"/>
    <s v="7396"/>
    <s v="Brasil"/>
    <s v="Rua Líbero Badaró, 425. Bairro Sé - São Paulo, Brasil"/>
    <x v="2"/>
    <n v="2122"/>
    <n v="4.1500000000000004"/>
    <x v="70"/>
    <n v="8806.3000000000011"/>
    <n v="294"/>
    <x v="0"/>
  </r>
  <r>
    <x v="3"/>
    <x v="8"/>
    <s v="1326"/>
    <s v="Estados Unidos"/>
    <s v="Cupertino, CA 95014 - Califórina, United States"/>
    <x v="10"/>
    <n v="3389"/>
    <n v="7.45"/>
    <x v="71"/>
    <n v="25248.05"/>
    <n v="195"/>
    <x v="0"/>
  </r>
  <r>
    <x v="16"/>
    <x v="2"/>
    <s v="5485"/>
    <s v="Argentina"/>
    <s v="Marcelo T. de Alvear 120 - Cordoba, Argentina"/>
    <x v="3"/>
    <n v="8144"/>
    <n v="4.8099999999999996"/>
    <x v="72"/>
    <n v="39172.639999999999"/>
    <n v="-785"/>
    <x v="1"/>
  </r>
  <r>
    <x v="4"/>
    <x v="4"/>
    <s v="1802"/>
    <s v="Argentina"/>
    <s v="Calle Mitre 123 - Bariloche, Argentina"/>
    <x v="7"/>
    <n v="4380"/>
    <n v="6.25"/>
    <x v="73"/>
    <n v="27375"/>
    <n v="393"/>
    <x v="0"/>
  </r>
  <r>
    <x v="13"/>
    <x v="3"/>
    <s v="7397"/>
    <s v="China"/>
    <s v="Nanquim 123 - Xangai, China"/>
    <x v="8"/>
    <n v="5201"/>
    <n v="6.93"/>
    <x v="74"/>
    <n v="36042.93"/>
    <n v="385"/>
    <x v="0"/>
  </r>
  <r>
    <x v="3"/>
    <x v="4"/>
    <s v="1311"/>
    <s v="Estados Unidos"/>
    <s v="Cupertino, CA 95014 - Califórina, United States"/>
    <x v="10"/>
    <n v="7009"/>
    <n v="8.98"/>
    <x v="75"/>
    <n v="62940.82"/>
    <n v="345"/>
    <x v="0"/>
  </r>
  <r>
    <x v="1"/>
    <x v="8"/>
    <s v="6217"/>
    <s v="China"/>
    <s v="Wangfujing 12456 - Pequim, China"/>
    <x v="1"/>
    <n v="8787"/>
    <n v="3.6"/>
    <x v="76"/>
    <n v="31633.200000000001"/>
    <n v="-108"/>
    <x v="1"/>
  </r>
  <r>
    <x v="10"/>
    <x v="5"/>
    <s v="2801"/>
    <s v="Brasil"/>
    <s v="Rua Amoroso Lima, 15 - Cidade Nova - Rio de Janeiro, Brasil"/>
    <x v="4"/>
    <n v="1126"/>
    <n v="7.52"/>
    <x v="77"/>
    <n v="8467.5199999999986"/>
    <n v="265"/>
    <x v="0"/>
  </r>
  <r>
    <x v="12"/>
    <x v="8"/>
    <s v="1570"/>
    <s v="Estados Unidos"/>
    <s v="8001 S Orange Blossom Trl - Florida, United States"/>
    <x v="9"/>
    <n v="4702"/>
    <n v="8.2100000000000009"/>
    <x v="78"/>
    <n v="38603.420000000006"/>
    <n v="-719"/>
    <x v="1"/>
  </r>
  <r>
    <x v="11"/>
    <x v="3"/>
    <s v="5568"/>
    <s v="Estados Unidos"/>
    <s v="Cupertino, CA 95014 - Califórina, United States"/>
    <x v="10"/>
    <n v="3255"/>
    <n v="8.85"/>
    <x v="79"/>
    <n v="28806.75"/>
    <n v="59"/>
    <x v="0"/>
  </r>
  <r>
    <x v="11"/>
    <x v="5"/>
    <s v="7700"/>
    <s v="Argentina"/>
    <s v="Marcelo T. de Alvear 120 - Cordoba, Argentina"/>
    <x v="3"/>
    <n v="4559"/>
    <n v="6.98"/>
    <x v="80"/>
    <n v="31821.820000000003"/>
    <n v="-766"/>
    <x v="1"/>
  </r>
  <r>
    <x v="0"/>
    <x v="6"/>
    <s v="3483"/>
    <s v="Estados Unidos"/>
    <s v="8001 S Orange Blossom Trl - Florida, United States"/>
    <x v="9"/>
    <n v="1395"/>
    <n v="1.52"/>
    <x v="81"/>
    <n v="2120.4"/>
    <n v="-665"/>
    <x v="1"/>
  </r>
  <r>
    <x v="15"/>
    <x v="8"/>
    <s v="7833"/>
    <s v="China"/>
    <s v="Nanquim 123 - Xangai, China"/>
    <x v="8"/>
    <n v="3840"/>
    <n v="3.52"/>
    <x v="82"/>
    <n v="13516.8"/>
    <n v="-808"/>
    <x v="1"/>
  </r>
  <r>
    <x v="7"/>
    <x v="3"/>
    <s v="6310"/>
    <s v="Estados Unidos"/>
    <s v="8001 S Orange Blossom Trl - Florida, United States"/>
    <x v="9"/>
    <n v="8609"/>
    <n v="3.26"/>
    <x v="83"/>
    <n v="28065.339999999997"/>
    <n v="-684"/>
    <x v="1"/>
  </r>
  <r>
    <x v="18"/>
    <x v="2"/>
    <s v="7652"/>
    <s v="Estados Unidos"/>
    <s v="Cupertino, CA 95014 - Califórina, United States"/>
    <x v="10"/>
    <n v="9606"/>
    <n v="5.55"/>
    <x v="84"/>
    <n v="53313.299999999996"/>
    <n v="-34"/>
    <x v="1"/>
  </r>
  <r>
    <x v="2"/>
    <x v="8"/>
    <s v="4483"/>
    <s v="Brasil"/>
    <s v="Rua Líbero Badaró, 425. Bairro Sé - São Paulo, Brasil"/>
    <x v="2"/>
    <n v="7767"/>
    <n v="7.14"/>
    <x v="85"/>
    <n v="55456.38"/>
    <n v="172"/>
    <x v="0"/>
  </r>
  <r>
    <x v="17"/>
    <x v="2"/>
    <s v="3043"/>
    <s v="Estados Unidos"/>
    <s v="Cupertino, CA 95014 - Califórina, United States"/>
    <x v="10"/>
    <n v="6688"/>
    <n v="1.69"/>
    <x v="86"/>
    <n v="11302.72"/>
    <n v="254"/>
    <x v="0"/>
  </r>
  <r>
    <x v="1"/>
    <x v="3"/>
    <s v="1166"/>
    <s v="Argentina"/>
    <s v="9 de Julio 500 - Mendonza, Argentina"/>
    <x v="5"/>
    <n v="8587"/>
    <n v="4.66"/>
    <x v="87"/>
    <n v="40015.42"/>
    <n v="417"/>
    <x v="0"/>
  </r>
  <r>
    <x v="9"/>
    <x v="3"/>
    <s v="3359"/>
    <s v="China"/>
    <s v="Wangfujing 12456 - Pequim, China"/>
    <x v="1"/>
    <n v="4738"/>
    <n v="2.78"/>
    <x v="88"/>
    <n v="13171.64"/>
    <n v="-142"/>
    <x v="1"/>
  </r>
  <r>
    <x v="8"/>
    <x v="8"/>
    <s v="6626"/>
    <s v="China"/>
    <s v="Nanquim 123 - Xangai, China"/>
    <x v="8"/>
    <n v="7654"/>
    <n v="1.91"/>
    <x v="89"/>
    <n v="14619.14"/>
    <n v="-756"/>
    <x v="1"/>
  </r>
  <r>
    <x v="8"/>
    <x v="8"/>
    <s v="6584"/>
    <s v="China"/>
    <s v="Nanquim 123 - Xangai, China"/>
    <x v="8"/>
    <n v="7649"/>
    <n v="1.91"/>
    <x v="90"/>
    <n v="14609.59"/>
    <n v="-505"/>
    <x v="1"/>
  </r>
  <r>
    <x v="1"/>
    <x v="6"/>
    <s v="6279"/>
    <s v="Estados Unidos"/>
    <s v="Cupertino, CA 95014 - Califórina, United States"/>
    <x v="10"/>
    <n v="3956"/>
    <n v="2.76"/>
    <x v="91"/>
    <n v="10918.56"/>
    <n v="244"/>
    <x v="0"/>
  </r>
  <r>
    <x v="1"/>
    <x v="7"/>
    <s v="4931"/>
    <s v="Estados Unidos"/>
    <s v="8001 S Orange Blossom Trl - Florida, United States"/>
    <x v="9"/>
    <n v="7659"/>
    <n v="8.42"/>
    <x v="92"/>
    <n v="64488.78"/>
    <n v="-29"/>
    <x v="1"/>
  </r>
  <r>
    <x v="9"/>
    <x v="2"/>
    <s v="7431"/>
    <s v="Estados Unidos"/>
    <s v="Cupertino, CA 95014 - Califórina, United States"/>
    <x v="10"/>
    <n v="5564"/>
    <n v="4.46"/>
    <x v="93"/>
    <n v="24815.439999999999"/>
    <n v="67"/>
    <x v="0"/>
  </r>
  <r>
    <x v="13"/>
    <x v="5"/>
    <s v="5874"/>
    <s v="Argentina"/>
    <s v="Calle Mitre 123 - Bariloche, Argentina"/>
    <x v="7"/>
    <n v="2164"/>
    <n v="6.98"/>
    <x v="94"/>
    <n v="15104.720000000001"/>
    <n v="-603"/>
    <x v="1"/>
  </r>
  <r>
    <x v="10"/>
    <x v="8"/>
    <s v="1882"/>
    <s v="Estados Unidos"/>
    <s v="8001 S Orange Blossom Trl - Florida, United States"/>
    <x v="9"/>
    <n v="5039"/>
    <n v="8.9499999999999993"/>
    <x v="95"/>
    <n v="45099.049999999996"/>
    <n v="-487"/>
    <x v="1"/>
  </r>
  <r>
    <x v="14"/>
    <x v="1"/>
    <s v="4533"/>
    <s v="Argentina"/>
    <s v="Marcelo T. de Alvear 120 - Cordoba, Argentina"/>
    <x v="3"/>
    <n v="6561"/>
    <n v="7.13"/>
    <x v="96"/>
    <n v="46779.93"/>
    <n v="387"/>
    <x v="0"/>
  </r>
  <r>
    <x v="4"/>
    <x v="3"/>
    <s v="1464"/>
    <s v="China"/>
    <s v="Nanquim 123 - Xangai, China"/>
    <x v="8"/>
    <n v="8551"/>
    <n v="9.24"/>
    <x v="97"/>
    <n v="79011.240000000005"/>
    <n v="203"/>
    <x v="0"/>
  </r>
  <r>
    <x v="0"/>
    <x v="7"/>
    <s v="1671"/>
    <s v="Estados Unidos"/>
    <s v="8001 S Orange Blossom Trl - Florida, United States"/>
    <x v="9"/>
    <n v="7401"/>
    <n v="7.52"/>
    <x v="98"/>
    <n v="55655.519999999997"/>
    <n v="-369"/>
    <x v="1"/>
  </r>
  <r>
    <x v="17"/>
    <x v="3"/>
    <s v="6370"/>
    <s v="Estados Unidos"/>
    <s v="Cupertino, CA 95014 - Califórina, United States"/>
    <x v="10"/>
    <n v="6612"/>
    <n v="7.19"/>
    <x v="99"/>
    <n v="47540.280000000006"/>
    <n v="510"/>
    <x v="0"/>
  </r>
  <r>
    <x v="17"/>
    <x v="8"/>
    <s v="3041"/>
    <s v="Brasil"/>
    <s v="Rua Líbero Badaró, 425. Bairro Sé - São Paulo, Brasil"/>
    <x v="2"/>
    <n v="3384"/>
    <n v="7.77"/>
    <x v="100"/>
    <n v="26293.68"/>
    <n v="-26"/>
    <x v="1"/>
  </r>
  <r>
    <x v="8"/>
    <x v="1"/>
    <s v="7740"/>
    <s v="Argentina"/>
    <s v="9 de Julio 500 - Mendonza, Argentina"/>
    <x v="5"/>
    <n v="1686"/>
    <n v="1.65"/>
    <x v="101"/>
    <n v="2781.8999999999996"/>
    <n v="-636"/>
    <x v="1"/>
  </r>
  <r>
    <x v="9"/>
    <x v="5"/>
    <s v="6259"/>
    <s v="Argentina"/>
    <s v="Calle Mitre 123 - Bariloche, Argentina"/>
    <x v="7"/>
    <n v="6967"/>
    <n v="3.74"/>
    <x v="102"/>
    <n v="26056.58"/>
    <n v="-789"/>
    <x v="1"/>
  </r>
  <r>
    <x v="14"/>
    <x v="5"/>
    <s v="3024"/>
    <s v="Brasil"/>
    <s v="Rua Líbero Badaró, 425. Bairro Sé - São Paulo, Brasil"/>
    <x v="2"/>
    <n v="5597"/>
    <n v="5"/>
    <x v="103"/>
    <n v="27985"/>
    <n v="312"/>
    <x v="0"/>
  </r>
  <r>
    <x v="16"/>
    <x v="3"/>
    <s v="3621"/>
    <s v="Argentina"/>
    <s v="Felipe Vallese 100 - Buenos Aires, Argentina"/>
    <x v="6"/>
    <n v="7122"/>
    <n v="3.12"/>
    <x v="104"/>
    <n v="22220.639999999999"/>
    <n v="-43"/>
    <x v="1"/>
  </r>
  <r>
    <x v="16"/>
    <x v="6"/>
    <s v="2371"/>
    <s v="Estados Unidos"/>
    <s v="Cupertino, CA 95014 - Califórina, United States"/>
    <x v="10"/>
    <n v="7842"/>
    <n v="1.92"/>
    <x v="105"/>
    <n v="15056.64"/>
    <n v="621"/>
    <x v="0"/>
  </r>
  <r>
    <x v="1"/>
    <x v="6"/>
    <s v="7457"/>
    <s v="China"/>
    <s v="Nanquim 123 - Xangai, China"/>
    <x v="8"/>
    <n v="6716"/>
    <n v="2.76"/>
    <x v="106"/>
    <n v="18536.16"/>
    <n v="-520"/>
    <x v="1"/>
  </r>
  <r>
    <x v="2"/>
    <x v="5"/>
    <s v="4998"/>
    <s v="Argentina"/>
    <s v="Marcelo T. de Alvear 120 - Cordoba, Argentina"/>
    <x v="3"/>
    <n v="2012"/>
    <n v="3.64"/>
    <x v="107"/>
    <n v="7323.68"/>
    <n v="14"/>
    <x v="2"/>
  </r>
  <r>
    <x v="1"/>
    <x v="4"/>
    <s v="4732"/>
    <s v="China"/>
    <s v="Nanquim 123 - Xangai, China"/>
    <x v="8"/>
    <n v="9813"/>
    <n v="4.1900000000000004"/>
    <x v="108"/>
    <n v="41116.47"/>
    <n v="-156"/>
    <x v="1"/>
  </r>
  <r>
    <x v="18"/>
    <x v="2"/>
    <s v="2206"/>
    <s v="Brasil"/>
    <s v="Rua Líbero Badaró, 425. Bairro Sé - São Paulo, Brasil"/>
    <x v="2"/>
    <n v="3430"/>
    <n v="5.55"/>
    <x v="109"/>
    <n v="19036.5"/>
    <n v="546"/>
    <x v="0"/>
  </r>
  <r>
    <x v="1"/>
    <x v="8"/>
    <s v="5184"/>
    <s v="Brasil"/>
    <s v="Rua Amoroso Lima, 15 - Cidade Nova - Rio de Janeiro, Brasil"/>
    <x v="4"/>
    <n v="7227"/>
    <n v="3.6"/>
    <x v="110"/>
    <n v="26017.200000000001"/>
    <n v="-324"/>
    <x v="1"/>
  </r>
  <r>
    <x v="13"/>
    <x v="3"/>
    <s v="3020"/>
    <s v="Argentina"/>
    <s v="Marcelo T. de Alvear 120 - Cordoba, Argentina"/>
    <x v="3"/>
    <n v="8006"/>
    <n v="6.93"/>
    <x v="111"/>
    <n v="55481.579999999994"/>
    <n v="336"/>
    <x v="0"/>
  </r>
  <r>
    <x v="8"/>
    <x v="6"/>
    <s v="4997"/>
    <s v="Estados Unidos"/>
    <s v="Cupertino, CA 95014 - Califórina, United States"/>
    <x v="10"/>
    <n v="8125"/>
    <n v="2.27"/>
    <x v="112"/>
    <n v="18443.75"/>
    <n v="153"/>
    <x v="0"/>
  </r>
  <r>
    <x v="10"/>
    <x v="4"/>
    <s v="1578"/>
    <s v="Argentina"/>
    <s v="Felipe Vallese 100 - Buenos Aires, Argentina"/>
    <x v="6"/>
    <n v="7922"/>
    <n v="6.68"/>
    <x v="113"/>
    <n v="52918.96"/>
    <n v="394"/>
    <x v="0"/>
  </r>
  <r>
    <x v="2"/>
    <x v="1"/>
    <s v="1434"/>
    <s v="China"/>
    <s v="Nanquim 123 - Xangai, China"/>
    <x v="8"/>
    <n v="5114"/>
    <n v="2.4900000000000002"/>
    <x v="114"/>
    <n v="12733.86"/>
    <n v="-354"/>
    <x v="1"/>
  </r>
  <r>
    <x v="3"/>
    <x v="7"/>
    <s v="5494"/>
    <s v="Estados Unidos"/>
    <s v="Cupertino, CA 95014 - Califórina, United States"/>
    <x v="10"/>
    <n v="7620"/>
    <n v="5"/>
    <x v="115"/>
    <n v="38100"/>
    <n v="142"/>
    <x v="0"/>
  </r>
  <r>
    <x v="5"/>
    <x v="6"/>
    <s v="3813"/>
    <s v="Argentina"/>
    <s v="Felipe Vallese 100 - Buenos Aires, Argentina"/>
    <x v="6"/>
    <n v="3353"/>
    <n v="8.51"/>
    <x v="71"/>
    <n v="28534.03"/>
    <n v="195"/>
    <x v="0"/>
  </r>
  <r>
    <x v="5"/>
    <x v="5"/>
    <s v="5644"/>
    <s v="China"/>
    <s v="Wangfujing 12456 - Pequim, China"/>
    <x v="1"/>
    <n v="5432"/>
    <n v="5.86"/>
    <x v="116"/>
    <n v="31831.52"/>
    <n v="634"/>
    <x v="0"/>
  </r>
  <r>
    <x v="9"/>
    <x v="4"/>
    <s v="2160"/>
    <s v="Estados Unidos"/>
    <s v="Cupertino, CA 95014 - Califórina, United States"/>
    <x v="10"/>
    <n v="4351"/>
    <n v="7.95"/>
    <x v="117"/>
    <n v="34590.450000000004"/>
    <n v="287"/>
    <x v="0"/>
  </r>
  <r>
    <x v="14"/>
    <x v="4"/>
    <s v="3072"/>
    <s v="China"/>
    <s v="Wangfujing 12456 - Pequim, China"/>
    <x v="1"/>
    <n v="6362"/>
    <n v="3.85"/>
    <x v="82"/>
    <n v="24493.7"/>
    <n v="-808"/>
    <x v="1"/>
  </r>
  <r>
    <x v="14"/>
    <x v="1"/>
    <s v="4465"/>
    <s v="China"/>
    <s v="Wangfujing 12456 - Pequim, China"/>
    <x v="1"/>
    <n v="8584"/>
    <n v="7.13"/>
    <x v="118"/>
    <n v="61203.92"/>
    <n v="-606"/>
    <x v="1"/>
  </r>
  <r>
    <x v="2"/>
    <x v="4"/>
    <s v="7108"/>
    <s v="Estados Unidos"/>
    <s v="8001 S Orange Blossom Trl - Florida, United States"/>
    <x v="9"/>
    <n v="1851"/>
    <n v="7.41"/>
    <x v="119"/>
    <n v="13715.91"/>
    <n v="-217"/>
    <x v="1"/>
  </r>
  <r>
    <x v="18"/>
    <x v="6"/>
    <s v="1479"/>
    <s v="Brasil"/>
    <s v="Rua Amoroso Lima, 15 - Cidade Nova - Rio de Janeiro, Brasil"/>
    <x v="4"/>
    <n v="7482"/>
    <n v="6.96"/>
    <x v="120"/>
    <n v="52074.720000000001"/>
    <n v="-48"/>
    <x v="1"/>
  </r>
  <r>
    <x v="6"/>
    <x v="6"/>
    <s v="5264"/>
    <s v="China"/>
    <s v="Nanquim 123 - Xangai, China"/>
    <x v="8"/>
    <n v="1565"/>
    <n v="3.94"/>
    <x v="121"/>
    <n v="6166.1"/>
    <n v="462"/>
    <x v="0"/>
  </r>
  <r>
    <x v="9"/>
    <x v="7"/>
    <s v="5209"/>
    <s v="Brasil"/>
    <s v="Rua Amoroso Lima, 15 - Cidade Nova - Rio de Janeiro, Brasil"/>
    <x v="4"/>
    <n v="6970"/>
    <n v="7.86"/>
    <x v="122"/>
    <n v="54784.200000000004"/>
    <n v="610"/>
    <x v="0"/>
  </r>
  <r>
    <x v="11"/>
    <x v="4"/>
    <s v="4252"/>
    <s v="China"/>
    <s v="Wangfujing 12456 - Pequim, China"/>
    <x v="1"/>
    <n v="7247"/>
    <n v="5.7"/>
    <x v="123"/>
    <n v="41307.9"/>
    <n v="497"/>
    <x v="0"/>
  </r>
  <r>
    <x v="11"/>
    <x v="4"/>
    <s v="6468"/>
    <s v="Brasil"/>
    <s v="Rua Líbero Badaró, 425. Bairro Sé - São Paulo, Brasil"/>
    <x v="2"/>
    <n v="6304"/>
    <n v="5.7"/>
    <x v="124"/>
    <n v="35932.800000000003"/>
    <n v="-590"/>
    <x v="1"/>
  </r>
  <r>
    <x v="0"/>
    <x v="7"/>
    <s v="7960"/>
    <s v="Estados Unidos"/>
    <s v="Cupertino, CA 95014 - Califórina, United States"/>
    <x v="10"/>
    <n v="8500"/>
    <n v="7.52"/>
    <x v="125"/>
    <n v="63920"/>
    <n v="-45"/>
    <x v="1"/>
  </r>
  <r>
    <x v="7"/>
    <x v="3"/>
    <s v="5689"/>
    <s v="China"/>
    <s v="Nanquim 123 - Xangai, China"/>
    <x v="8"/>
    <n v="9491"/>
    <n v="3.26"/>
    <x v="26"/>
    <n v="30940.659999999996"/>
    <n v="479"/>
    <x v="0"/>
  </r>
  <r>
    <x v="8"/>
    <x v="6"/>
    <s v="2824"/>
    <s v="China"/>
    <s v="Wangfujing 12456 - Pequim, China"/>
    <x v="1"/>
    <n v="3566"/>
    <n v="2.27"/>
    <x v="126"/>
    <n v="8094.82"/>
    <n v="-106"/>
    <x v="1"/>
  </r>
  <r>
    <x v="16"/>
    <x v="6"/>
    <s v="4209"/>
    <s v="Estados Unidos"/>
    <s v="8001 S Orange Blossom Trl - Florida, United States"/>
    <x v="9"/>
    <n v="1997"/>
    <n v="1.92"/>
    <x v="127"/>
    <n v="3834.24"/>
    <n v="257"/>
    <x v="0"/>
  </r>
  <r>
    <x v="18"/>
    <x v="2"/>
    <s v="2902"/>
    <s v="Estados Unidos"/>
    <s v="8001 S Orange Blossom Trl - Florida, United States"/>
    <x v="9"/>
    <n v="5105"/>
    <n v="5.55"/>
    <x v="128"/>
    <n v="28332.75"/>
    <n v="-98"/>
    <x v="1"/>
  </r>
  <r>
    <x v="18"/>
    <x v="5"/>
    <s v="1186"/>
    <s v="China"/>
    <s v="Wangfujing 12456 - Pequim, China"/>
    <x v="1"/>
    <n v="8055"/>
    <n v="8.9700000000000006"/>
    <x v="129"/>
    <n v="72253.350000000006"/>
    <n v="335"/>
    <x v="0"/>
  </r>
  <r>
    <x v="9"/>
    <x v="3"/>
    <s v="7092"/>
    <s v="Argentina"/>
    <s v="Calle Mitre 123 - Bariloche, Argentina"/>
    <x v="7"/>
    <n v="8439"/>
    <n v="2.78"/>
    <x v="130"/>
    <n v="23460.42"/>
    <n v="448"/>
    <x v="0"/>
  </r>
  <r>
    <x v="2"/>
    <x v="3"/>
    <s v="7132"/>
    <s v="Argentina"/>
    <s v="9 de Julio 500 - Mendonza, Argentina"/>
    <x v="5"/>
    <n v="6550"/>
    <n v="3.16"/>
    <x v="131"/>
    <n v="20698"/>
    <n v="-359"/>
    <x v="1"/>
  </r>
  <r>
    <x v="7"/>
    <x v="5"/>
    <s v="7807"/>
    <s v="China"/>
    <s v="Wangfujing 12456 - Pequim, China"/>
    <x v="1"/>
    <n v="9160"/>
    <n v="4.95"/>
    <x v="132"/>
    <n v="45342"/>
    <n v="-153"/>
    <x v="1"/>
  </r>
  <r>
    <x v="15"/>
    <x v="7"/>
    <s v="8390"/>
    <s v="Argentina"/>
    <s v="9 de Julio 500 - Mendonza, Argentina"/>
    <x v="5"/>
    <n v="8215"/>
    <n v="2.63"/>
    <x v="133"/>
    <n v="21605.45"/>
    <n v="409"/>
    <x v="0"/>
  </r>
  <r>
    <x v="17"/>
    <x v="8"/>
    <s v="1619"/>
    <s v="China"/>
    <s v="Nanquim 123 - Xangai, China"/>
    <x v="8"/>
    <n v="9538"/>
    <n v="7.77"/>
    <x v="134"/>
    <n v="74110.259999999995"/>
    <n v="577"/>
    <x v="0"/>
  </r>
  <r>
    <x v="9"/>
    <x v="2"/>
    <s v="2248"/>
    <s v="Argentina"/>
    <s v="Marcelo T. de Alvear 120 - Cordoba, Argentina"/>
    <x v="3"/>
    <n v="1653"/>
    <n v="4.46"/>
    <x v="135"/>
    <n v="7372.38"/>
    <n v="-671"/>
    <x v="1"/>
  </r>
  <r>
    <x v="1"/>
    <x v="3"/>
    <s v="1469"/>
    <s v="Argentina"/>
    <s v="Calle Mitre 123 - Bariloche, Argentina"/>
    <x v="7"/>
    <n v="9508"/>
    <n v="4.66"/>
    <x v="136"/>
    <n v="44307.28"/>
    <n v="-194"/>
    <x v="1"/>
  </r>
  <r>
    <x v="1"/>
    <x v="8"/>
    <s v="5351"/>
    <s v="Argentina"/>
    <s v="9 de Julio 500 - Mendonza, Argentina"/>
    <x v="5"/>
    <n v="6398"/>
    <n v="3.6"/>
    <x v="137"/>
    <n v="23032.799999999999"/>
    <n v="-586"/>
    <x v="1"/>
  </r>
  <r>
    <x v="4"/>
    <x v="8"/>
    <s v="4615"/>
    <s v="Argentina"/>
    <s v="Calle Mitre 123 - Bariloche, Argentina"/>
    <x v="7"/>
    <n v="8311"/>
    <n v="7.46"/>
    <x v="138"/>
    <n v="62000.06"/>
    <n v="496"/>
    <x v="0"/>
  </r>
  <r>
    <x v="14"/>
    <x v="4"/>
    <s v="3176"/>
    <s v="Argentina"/>
    <s v="Calle Mitre 123 - Bariloche, Argentina"/>
    <x v="7"/>
    <n v="8499"/>
    <n v="3.85"/>
    <x v="139"/>
    <n v="32721.15"/>
    <n v="463"/>
    <x v="0"/>
  </r>
  <r>
    <x v="15"/>
    <x v="4"/>
    <s v="6950"/>
    <s v="Brasil"/>
    <s v="Rua Líbero Badaró, 425. Bairro Sé - São Paulo, Brasil"/>
    <x v="2"/>
    <n v="8047"/>
    <n v="7.74"/>
    <x v="140"/>
    <n v="62283.78"/>
    <n v="498"/>
    <x v="0"/>
  </r>
  <r>
    <x v="9"/>
    <x v="2"/>
    <s v="6366"/>
    <s v="Argentina"/>
    <s v="Calle Mitre 123 - Bariloche, Argentina"/>
    <x v="7"/>
    <n v="7351"/>
    <n v="4.46"/>
    <x v="141"/>
    <n v="32785.46"/>
    <n v="329"/>
    <x v="0"/>
  </r>
  <r>
    <x v="6"/>
    <x v="4"/>
    <s v="2721"/>
    <s v="Estados Unidos"/>
    <s v="8001 S Orange Blossom Trl - Florida, United States"/>
    <x v="9"/>
    <n v="2710"/>
    <n v="5.57"/>
    <x v="142"/>
    <n v="15094.7"/>
    <n v="-559"/>
    <x v="1"/>
  </r>
  <r>
    <x v="13"/>
    <x v="7"/>
    <s v="6470"/>
    <s v="Brasil"/>
    <s v="Rua Líbero Badaró, 425. Bairro Sé - São Paulo, Brasil"/>
    <x v="2"/>
    <n v="9738"/>
    <n v="5.48"/>
    <x v="143"/>
    <n v="53364.240000000005"/>
    <n v="-385"/>
    <x v="1"/>
  </r>
  <r>
    <x v="4"/>
    <x v="6"/>
    <s v="7070"/>
    <s v="Brasil"/>
    <s v="Rua Líbero Badaró, 425. Bairro Sé - São Paulo, Brasil"/>
    <x v="2"/>
    <n v="8083"/>
    <n v="1.89"/>
    <x v="144"/>
    <n v="15276.869999999999"/>
    <n v="-150"/>
    <x v="1"/>
  </r>
  <r>
    <x v="9"/>
    <x v="2"/>
    <s v="2463"/>
    <s v="Estados Unidos"/>
    <s v="8001 S Orange Blossom Trl - Florida, United States"/>
    <x v="9"/>
    <n v="7383"/>
    <n v="4.46"/>
    <x v="145"/>
    <n v="32928.18"/>
    <n v="-71"/>
    <x v="1"/>
  </r>
  <r>
    <x v="11"/>
    <x v="2"/>
    <s v="6711"/>
    <s v="Estados Unidos"/>
    <s v="8001 S Orange Blossom Trl - Florida, United States"/>
    <x v="9"/>
    <n v="5693"/>
    <n v="5.32"/>
    <x v="146"/>
    <n v="30286.760000000002"/>
    <n v="365"/>
    <x v="0"/>
  </r>
  <r>
    <x v="6"/>
    <x v="7"/>
    <s v="7325"/>
    <s v="China"/>
    <s v="Wangfujing 12456 - Pequim, China"/>
    <x v="1"/>
    <n v="7594"/>
    <n v="3.71"/>
    <x v="147"/>
    <n v="28173.739999999998"/>
    <n v="431"/>
    <x v="0"/>
  </r>
  <r>
    <x v="14"/>
    <x v="6"/>
    <s v="3366"/>
    <s v="Estados Unidos"/>
    <s v="8001 S Orange Blossom Trl - Florida, United States"/>
    <x v="9"/>
    <n v="1436"/>
    <n v="5.45"/>
    <x v="148"/>
    <n v="7826.2"/>
    <n v="268"/>
    <x v="0"/>
  </r>
  <r>
    <x v="2"/>
    <x v="1"/>
    <s v="1393"/>
    <s v="Argentina"/>
    <s v="9 de Julio 500 - Mendonza, Argentina"/>
    <x v="5"/>
    <n v="2578"/>
    <n v="2.4900000000000002"/>
    <x v="149"/>
    <n v="6419.22"/>
    <n v="-221"/>
    <x v="1"/>
  </r>
  <r>
    <x v="18"/>
    <x v="4"/>
    <s v="1915"/>
    <s v="Estados Unidos"/>
    <s v="8001 S Orange Blossom Trl - Florida, United States"/>
    <x v="9"/>
    <n v="7422"/>
    <n v="6.47"/>
    <x v="150"/>
    <n v="48020.34"/>
    <n v="-749"/>
    <x v="1"/>
  </r>
  <r>
    <x v="2"/>
    <x v="1"/>
    <s v="6450"/>
    <s v="Estados Unidos"/>
    <s v="8001 S Orange Blossom Trl - Florida, United States"/>
    <x v="9"/>
    <n v="6802"/>
    <n v="2.4900000000000002"/>
    <x v="102"/>
    <n v="16936.980000000003"/>
    <n v="-789"/>
    <x v="1"/>
  </r>
  <r>
    <x v="2"/>
    <x v="1"/>
    <s v="8277"/>
    <s v="Argentina"/>
    <s v="Marcelo T. de Alvear 120 - Cordoba, Argentina"/>
    <x v="3"/>
    <n v="2797"/>
    <n v="2.4900000000000002"/>
    <x v="151"/>
    <n v="6964.5300000000007"/>
    <n v="376"/>
    <x v="0"/>
  </r>
  <r>
    <x v="12"/>
    <x v="1"/>
    <s v="4361"/>
    <s v="China"/>
    <s v="Nanquim 123 - Xangai, China"/>
    <x v="8"/>
    <n v="2031"/>
    <n v="8.14"/>
    <x v="152"/>
    <n v="16532.34"/>
    <n v="-161"/>
    <x v="1"/>
  </r>
  <r>
    <x v="5"/>
    <x v="6"/>
    <s v="8026"/>
    <s v="China"/>
    <s v="Wangfujing 12456 - Pequim, China"/>
    <x v="1"/>
    <n v="4801"/>
    <n v="8.51"/>
    <x v="153"/>
    <n v="40856.51"/>
    <n v="-663"/>
    <x v="1"/>
  </r>
  <r>
    <x v="2"/>
    <x v="2"/>
    <s v="6782"/>
    <s v="Argentina"/>
    <s v="Calle Mitre 123 - Bariloche, Argentina"/>
    <x v="7"/>
    <n v="3125"/>
    <n v="2.48"/>
    <x v="94"/>
    <n v="7750"/>
    <n v="-603"/>
    <x v="1"/>
  </r>
  <r>
    <x v="8"/>
    <x v="7"/>
    <s v="7860"/>
    <s v="China"/>
    <s v="Wangfujing 12456 - Pequim, China"/>
    <x v="1"/>
    <n v="4057"/>
    <n v="6.57"/>
    <x v="154"/>
    <n v="26654.49"/>
    <n v="-406"/>
    <x v="1"/>
  </r>
  <r>
    <x v="17"/>
    <x v="1"/>
    <s v="3730"/>
    <s v="China"/>
    <s v="Wangfujing 12456 - Pequim, China"/>
    <x v="1"/>
    <n v="4706"/>
    <n v="9.17"/>
    <x v="155"/>
    <n v="43154.02"/>
    <n v="419"/>
    <x v="0"/>
  </r>
  <r>
    <x v="17"/>
    <x v="2"/>
    <s v="3956"/>
    <s v="China"/>
    <s v="Nanquim 123 - Xangai, China"/>
    <x v="8"/>
    <n v="4778"/>
    <n v="1.69"/>
    <x v="156"/>
    <n v="8074.82"/>
    <n v="54"/>
    <x v="0"/>
  </r>
  <r>
    <x v="9"/>
    <x v="2"/>
    <s v="4368"/>
    <s v="Brasil"/>
    <s v="Rua Amoroso Lima, 15 - Cidade Nova - Rio de Janeiro, Brasil"/>
    <x v="4"/>
    <n v="3933"/>
    <n v="4.46"/>
    <x v="157"/>
    <n v="17541.18"/>
    <n v="427"/>
    <x v="0"/>
  </r>
  <r>
    <x v="4"/>
    <x v="7"/>
    <s v="5919"/>
    <s v="Estados Unidos"/>
    <s v="Cupertino, CA 95014 - Califórina, United States"/>
    <x v="10"/>
    <n v="3229"/>
    <n v="5.79"/>
    <x v="158"/>
    <n v="18695.91"/>
    <n v="-242"/>
    <x v="1"/>
  </r>
  <r>
    <x v="11"/>
    <x v="7"/>
    <s v="1303"/>
    <s v="Brasil"/>
    <s v="Rua Líbero Badaró, 425. Bairro Sé - São Paulo, Brasil"/>
    <x v="2"/>
    <n v="2440"/>
    <n v="5.76"/>
    <x v="32"/>
    <n v="14054.4"/>
    <n v="-545"/>
    <x v="1"/>
  </r>
  <r>
    <x v="10"/>
    <x v="6"/>
    <s v="1324"/>
    <s v="China"/>
    <s v="Wangfujing 12456 - Pequim, China"/>
    <x v="1"/>
    <n v="2952"/>
    <n v="3.77"/>
    <x v="159"/>
    <n v="11129.04"/>
    <n v="-148"/>
    <x v="1"/>
  </r>
  <r>
    <x v="7"/>
    <x v="2"/>
    <s v="7073"/>
    <s v="Estados Unidos"/>
    <s v="Cupertino, CA 95014 - Califórina, United States"/>
    <x v="10"/>
    <n v="6483"/>
    <n v="4.2699999999999996"/>
    <x v="160"/>
    <n v="27682.409999999996"/>
    <n v="25"/>
    <x v="2"/>
  </r>
  <r>
    <x v="10"/>
    <x v="4"/>
    <s v="1372"/>
    <s v="Brasil"/>
    <s v="Rua Amoroso Lima, 15 - Cidade Nova - Rio de Janeiro, Brasil"/>
    <x v="4"/>
    <n v="3363"/>
    <n v="6.68"/>
    <x v="161"/>
    <n v="22464.84"/>
    <n v="-660"/>
    <x v="1"/>
  </r>
  <r>
    <x v="9"/>
    <x v="2"/>
    <s v="5545"/>
    <s v="China"/>
    <s v="Nanquim 123 - Xangai, China"/>
    <x v="8"/>
    <n v="3045"/>
    <n v="4.46"/>
    <x v="162"/>
    <n v="13580.7"/>
    <n v="180"/>
    <x v="0"/>
  </r>
  <r>
    <x v="3"/>
    <x v="4"/>
    <s v="6795"/>
    <s v="Estados Unidos"/>
    <s v="Cupertino, CA 95014 - Califórina, United States"/>
    <x v="10"/>
    <n v="7494"/>
    <n v="8.98"/>
    <x v="163"/>
    <n v="67296.12000000001"/>
    <n v="596"/>
    <x v="0"/>
  </r>
  <r>
    <x v="10"/>
    <x v="6"/>
    <s v="1506"/>
    <s v="Brasil"/>
    <s v="Rua Amoroso Lima, 15 - Cidade Nova - Rio de Janeiro, Brasil"/>
    <x v="4"/>
    <n v="3792"/>
    <n v="3.77"/>
    <x v="164"/>
    <n v="14295.84"/>
    <n v="445"/>
    <x v="0"/>
  </r>
  <r>
    <x v="8"/>
    <x v="7"/>
    <s v="3252"/>
    <s v="Estados Unidos"/>
    <s v="Cupertino, CA 95014 - Califórina, United States"/>
    <x v="10"/>
    <n v="5779"/>
    <n v="6.57"/>
    <x v="165"/>
    <n v="37968.03"/>
    <n v="-138"/>
    <x v="1"/>
  </r>
  <r>
    <x v="13"/>
    <x v="6"/>
    <s v="2611"/>
    <s v="Estados Unidos"/>
    <s v="Cupertino, CA 95014 - Califórina, United States"/>
    <x v="10"/>
    <n v="5024"/>
    <n v="7.16"/>
    <x v="166"/>
    <n v="35971.840000000004"/>
    <n v="569"/>
    <x v="0"/>
  </r>
  <r>
    <x v="10"/>
    <x v="5"/>
    <s v="2304"/>
    <s v="Estados Unidos"/>
    <s v="Cupertino, CA 95014 - Califórina, United States"/>
    <x v="10"/>
    <n v="8760"/>
    <n v="7.52"/>
    <x v="167"/>
    <n v="65875.199999999997"/>
    <n v="451"/>
    <x v="0"/>
  </r>
  <r>
    <x v="12"/>
    <x v="5"/>
    <s v="7382"/>
    <s v="Argentina"/>
    <s v="Calle Mitre 123 - Bariloche, Argentina"/>
    <x v="7"/>
    <n v="1394"/>
    <n v="6.46"/>
    <x v="7"/>
    <n v="9005.24"/>
    <n v="106"/>
    <x v="0"/>
  </r>
  <r>
    <x v="11"/>
    <x v="3"/>
    <s v="6530"/>
    <s v="Brasil"/>
    <s v="Rua Amoroso Lima, 15 - Cidade Nova - Rio de Janeiro, Brasil"/>
    <x v="4"/>
    <n v="6895"/>
    <n v="8.85"/>
    <x v="168"/>
    <n v="61020.75"/>
    <n v="-199"/>
    <x v="1"/>
  </r>
  <r>
    <x v="11"/>
    <x v="4"/>
    <s v="2155"/>
    <s v="China"/>
    <s v="Wangfujing 12456 - Pequim, China"/>
    <x v="1"/>
    <n v="5779"/>
    <n v="5.7"/>
    <x v="169"/>
    <n v="32940.300000000003"/>
    <n v="280"/>
    <x v="0"/>
  </r>
  <r>
    <x v="13"/>
    <x v="6"/>
    <s v="7271"/>
    <s v="China"/>
    <s v="Nanquim 123 - Xangai, China"/>
    <x v="8"/>
    <n v="1127"/>
    <n v="7.16"/>
    <x v="170"/>
    <n v="8069.32"/>
    <n v="188"/>
    <x v="0"/>
  </r>
  <r>
    <x v="6"/>
    <x v="4"/>
    <s v="6446"/>
    <s v="Brasil"/>
    <s v="Rua Amoroso Lima, 15 - Cidade Nova - Rio de Janeiro, Brasil"/>
    <x v="4"/>
    <n v="6864"/>
    <n v="5.57"/>
    <x v="155"/>
    <n v="38232.480000000003"/>
    <n v="419"/>
    <x v="0"/>
  </r>
  <r>
    <x v="14"/>
    <x v="7"/>
    <s v="4091"/>
    <s v="China"/>
    <s v="Nanquim 123 - Xangai, China"/>
    <x v="8"/>
    <n v="7368"/>
    <n v="7.95"/>
    <x v="131"/>
    <n v="58575.6"/>
    <n v="-359"/>
    <x v="1"/>
  </r>
  <r>
    <x v="5"/>
    <x v="6"/>
    <s v="5858"/>
    <s v="Argentina"/>
    <s v="Felipe Vallese 100 - Buenos Aires, Argentina"/>
    <x v="6"/>
    <n v="4780"/>
    <n v="8.51"/>
    <x v="171"/>
    <n v="40677.799999999996"/>
    <n v="592"/>
    <x v="0"/>
  </r>
  <r>
    <x v="6"/>
    <x v="4"/>
    <s v="7623"/>
    <s v="Brasil"/>
    <s v="Rua Amoroso Lima, 15 - Cidade Nova - Rio de Janeiro, Brasil"/>
    <x v="4"/>
    <n v="7599"/>
    <n v="5.57"/>
    <x v="172"/>
    <n v="42326.43"/>
    <n v="325"/>
    <x v="0"/>
  </r>
  <r>
    <x v="2"/>
    <x v="6"/>
    <s v="6930"/>
    <s v="Brasil"/>
    <s v="Rua Líbero Badaró, 425. Bairro Sé - São Paulo, Brasil"/>
    <x v="2"/>
    <n v="4117"/>
    <n v="3.68"/>
    <x v="173"/>
    <n v="15150.560000000001"/>
    <n v="64"/>
    <x v="0"/>
  </r>
  <r>
    <x v="9"/>
    <x v="3"/>
    <s v="1338"/>
    <s v="China"/>
    <s v="Wangfujing 12456 - Pequim, China"/>
    <x v="1"/>
    <n v="5317"/>
    <n v="2.78"/>
    <x v="174"/>
    <n v="14781.259999999998"/>
    <n v="221"/>
    <x v="0"/>
  </r>
  <r>
    <x v="4"/>
    <x v="1"/>
    <s v="6560"/>
    <s v="China"/>
    <s v="Nanquim 123 - Xangai, China"/>
    <x v="8"/>
    <n v="7012"/>
    <n v="4.33"/>
    <x v="175"/>
    <n v="30361.96"/>
    <n v="-526"/>
    <x v="1"/>
  </r>
  <r>
    <x v="0"/>
    <x v="2"/>
    <s v="1663"/>
    <s v="China"/>
    <s v="Wangfujing 12456 - Pequim, China"/>
    <x v="1"/>
    <n v="3297"/>
    <n v="3.86"/>
    <x v="176"/>
    <n v="12726.42"/>
    <n v="426"/>
    <x v="0"/>
  </r>
  <r>
    <x v="14"/>
    <x v="4"/>
    <s v="2002"/>
    <s v="China"/>
    <s v="Wangfujing 12456 - Pequim, China"/>
    <x v="1"/>
    <n v="5143"/>
    <n v="3.85"/>
    <x v="177"/>
    <n v="19800.55"/>
    <n v="-112"/>
    <x v="1"/>
  </r>
  <r>
    <x v="16"/>
    <x v="2"/>
    <s v="3981"/>
    <s v="Argentina"/>
    <s v="Calle Mitre 123 - Bariloche, Argentina"/>
    <x v="7"/>
    <n v="2136"/>
    <n v="4.8099999999999996"/>
    <x v="178"/>
    <n v="10274.16"/>
    <n v="-490"/>
    <x v="1"/>
  </r>
  <r>
    <x v="1"/>
    <x v="6"/>
    <s v="7395"/>
    <s v="Brasil"/>
    <s v="Rua Amoroso Lima, 15 - Cidade Nova - Rio de Janeiro, Brasil"/>
    <x v="4"/>
    <n v="8191"/>
    <n v="2.76"/>
    <x v="179"/>
    <n v="22607.16"/>
    <n v="-805"/>
    <x v="1"/>
  </r>
  <r>
    <x v="12"/>
    <x v="3"/>
    <s v="6668"/>
    <s v="Estados Unidos"/>
    <s v="Cupertino, CA 95014 - Califórina, United States"/>
    <x v="10"/>
    <n v="4529"/>
    <n v="4.83"/>
    <x v="180"/>
    <n v="21875.07"/>
    <n v="-529"/>
    <x v="1"/>
  </r>
  <r>
    <x v="0"/>
    <x v="6"/>
    <s v="1672"/>
    <s v="China"/>
    <s v="Nanquim 123 - Xangai, China"/>
    <x v="8"/>
    <n v="3553"/>
    <n v="1.52"/>
    <x v="181"/>
    <n v="5400.56"/>
    <n v="-561"/>
    <x v="1"/>
  </r>
  <r>
    <x v="12"/>
    <x v="2"/>
    <s v="7520"/>
    <s v="China"/>
    <s v="Wangfujing 12456 - Pequim, China"/>
    <x v="1"/>
    <n v="3360"/>
    <n v="7.11"/>
    <x v="182"/>
    <n v="23889.600000000002"/>
    <n v="481"/>
    <x v="0"/>
  </r>
  <r>
    <x v="3"/>
    <x v="4"/>
    <s v="7393"/>
    <s v="Argentina"/>
    <s v="Felipe Vallese 100 - Buenos Aires, Argentina"/>
    <x v="6"/>
    <n v="5329"/>
    <n v="8.98"/>
    <x v="171"/>
    <n v="47854.420000000006"/>
    <n v="592"/>
    <x v="0"/>
  </r>
  <r>
    <x v="1"/>
    <x v="1"/>
    <s v="3595"/>
    <s v="Argentina"/>
    <s v="Marcelo T. de Alvear 120 - Cordoba, Argentina"/>
    <x v="3"/>
    <n v="8310"/>
    <n v="9.24"/>
    <x v="183"/>
    <n v="76784.400000000009"/>
    <n v="-675"/>
    <x v="1"/>
  </r>
  <r>
    <x v="14"/>
    <x v="8"/>
    <s v="4404"/>
    <s v="Argentina"/>
    <s v="Felipe Vallese 100 - Buenos Aires, Argentina"/>
    <x v="6"/>
    <n v="3166"/>
    <n v="6.76"/>
    <x v="128"/>
    <n v="21402.16"/>
    <n v="-98"/>
    <x v="1"/>
  </r>
  <r>
    <x v="0"/>
    <x v="2"/>
    <s v="3903"/>
    <s v="China"/>
    <s v="Wangfujing 12456 - Pequim, China"/>
    <x v="1"/>
    <n v="6237"/>
    <n v="3.86"/>
    <x v="184"/>
    <n v="24074.82"/>
    <n v="189"/>
    <x v="0"/>
  </r>
  <r>
    <x v="3"/>
    <x v="8"/>
    <s v="5666"/>
    <s v="Brasil"/>
    <s v="Rua Líbero Badaró, 425. Bairro Sé - São Paulo, Brasil"/>
    <x v="2"/>
    <n v="9963"/>
    <n v="7.45"/>
    <x v="185"/>
    <n v="74224.350000000006"/>
    <n v="-697"/>
    <x v="1"/>
  </r>
  <r>
    <x v="8"/>
    <x v="1"/>
    <s v="2120"/>
    <s v="Estados Unidos"/>
    <s v="8001 S Orange Blossom Trl - Florida, United States"/>
    <x v="9"/>
    <n v="7440"/>
    <n v="1.65"/>
    <x v="186"/>
    <n v="12276"/>
    <n v="-398"/>
    <x v="1"/>
  </r>
  <r>
    <x v="4"/>
    <x v="3"/>
    <s v="6761"/>
    <s v="Estados Unidos"/>
    <s v="8001 S Orange Blossom Trl - Florida, United States"/>
    <x v="9"/>
    <n v="2945"/>
    <n v="9.24"/>
    <x v="187"/>
    <n v="27211.8"/>
    <n v="613"/>
    <x v="0"/>
  </r>
  <r>
    <x v="11"/>
    <x v="6"/>
    <s v="6650"/>
    <s v="China"/>
    <s v="Wangfujing 12456 - Pequim, China"/>
    <x v="1"/>
    <n v="8058"/>
    <n v="5.32"/>
    <x v="188"/>
    <n v="42868.560000000005"/>
    <n v="-180"/>
    <x v="1"/>
  </r>
  <r>
    <x v="15"/>
    <x v="1"/>
    <s v="3334"/>
    <s v="Argentina"/>
    <s v="Marcelo T. de Alvear 120 - Cordoba, Argentina"/>
    <x v="3"/>
    <n v="1818"/>
    <n v="8.4600000000000009"/>
    <x v="189"/>
    <n v="15380.28"/>
    <n v="-297"/>
    <x v="1"/>
  </r>
  <r>
    <x v="13"/>
    <x v="6"/>
    <s v="1417"/>
    <s v="Estados Unidos"/>
    <s v="Cupertino, CA 95014 - Califórina, United States"/>
    <x v="10"/>
    <n v="1480"/>
    <n v="7.16"/>
    <x v="190"/>
    <n v="10596.800000000001"/>
    <n v="-444"/>
    <x v="1"/>
  </r>
  <r>
    <x v="2"/>
    <x v="6"/>
    <s v="3276"/>
    <s v="Brasil"/>
    <s v="Rua Líbero Badaró, 425. Bairro Sé - São Paulo, Brasil"/>
    <x v="2"/>
    <n v="3196"/>
    <n v="3.68"/>
    <x v="191"/>
    <n v="11761.28"/>
    <n v="612"/>
    <x v="0"/>
  </r>
  <r>
    <x v="4"/>
    <x v="6"/>
    <s v="1821"/>
    <s v="Brasil"/>
    <s v="Rua Amoroso Lima, 15 - Cidade Nova - Rio de Janeiro, Brasil"/>
    <x v="4"/>
    <n v="5166"/>
    <n v="1.89"/>
    <x v="192"/>
    <n v="9763.74"/>
    <n v="-407"/>
    <x v="1"/>
  </r>
  <r>
    <x v="7"/>
    <x v="3"/>
    <s v="3047"/>
    <s v="China"/>
    <s v="Nanquim 123 - Xangai, China"/>
    <x v="8"/>
    <n v="8560"/>
    <n v="3.26"/>
    <x v="51"/>
    <n v="27905.599999999999"/>
    <n v="-411"/>
    <x v="1"/>
  </r>
  <r>
    <x v="14"/>
    <x v="3"/>
    <s v="2253"/>
    <s v="Brasil"/>
    <s v="Rua Amoroso Lima, 15 - Cidade Nova - Rio de Janeiro, Brasil"/>
    <x v="4"/>
    <n v="3587"/>
    <n v="4.1500000000000004"/>
    <x v="193"/>
    <n v="14886.050000000001"/>
    <n v="-634"/>
    <x v="1"/>
  </r>
  <r>
    <x v="0"/>
    <x v="5"/>
    <s v="1207"/>
    <s v="Brasil"/>
    <s v="Rua Líbero Badaró, 425. Bairro Sé - São Paulo, Brasil"/>
    <x v="2"/>
    <n v="4642"/>
    <n v="6.77"/>
    <x v="194"/>
    <n v="31426.339999999997"/>
    <n v="-816"/>
    <x v="1"/>
  </r>
  <r>
    <x v="2"/>
    <x v="8"/>
    <s v="5121"/>
    <s v="Argentina"/>
    <s v="Felipe Vallese 100 - Buenos Aires, Argentina"/>
    <x v="6"/>
    <n v="8070"/>
    <n v="7.14"/>
    <x v="86"/>
    <n v="57619.799999999996"/>
    <n v="254"/>
    <x v="0"/>
  </r>
  <r>
    <x v="16"/>
    <x v="4"/>
    <s v="5373"/>
    <s v="Estados Unidos"/>
    <s v="8001 S Orange Blossom Trl - Florida, United States"/>
    <x v="9"/>
    <n v="7108"/>
    <n v="8.32"/>
    <x v="195"/>
    <n v="59138.560000000005"/>
    <n v="402"/>
    <x v="0"/>
  </r>
  <r>
    <x v="2"/>
    <x v="5"/>
    <s v="2326"/>
    <s v="Argentina"/>
    <s v="Felipe Vallese 100 - Buenos Aires, Argentina"/>
    <x v="6"/>
    <n v="7106"/>
    <n v="3.64"/>
    <x v="196"/>
    <n v="25865.84"/>
    <n v="129"/>
    <x v="0"/>
  </r>
  <r>
    <x v="0"/>
    <x v="2"/>
    <s v="7971"/>
    <s v="Estados Unidos"/>
    <s v="8001 S Orange Blossom Trl - Florida, United States"/>
    <x v="9"/>
    <n v="7422"/>
    <n v="3.86"/>
    <x v="197"/>
    <n v="28648.92"/>
    <n v="-452"/>
    <x v="1"/>
  </r>
  <r>
    <x v="18"/>
    <x v="6"/>
    <s v="6152"/>
    <s v="China"/>
    <s v="Nanquim 123 - Xangai, China"/>
    <x v="8"/>
    <n v="1110"/>
    <n v="6.96"/>
    <x v="198"/>
    <n v="7725.6"/>
    <n v="-39"/>
    <x v="1"/>
  </r>
  <r>
    <x v="2"/>
    <x v="5"/>
    <s v="2489"/>
    <s v="China"/>
    <s v="Nanquim 123 - Xangai, China"/>
    <x v="8"/>
    <n v="1987"/>
    <n v="3.64"/>
    <x v="199"/>
    <n v="7232.68"/>
    <n v="19"/>
    <x v="2"/>
  </r>
  <r>
    <x v="18"/>
    <x v="6"/>
    <s v="4193"/>
    <s v="Argentina"/>
    <s v="Felipe Vallese 100 - Buenos Aires, Argentina"/>
    <x v="6"/>
    <n v="1142"/>
    <n v="6.96"/>
    <x v="200"/>
    <n v="7948.32"/>
    <n v="-24"/>
    <x v="1"/>
  </r>
  <r>
    <x v="0"/>
    <x v="4"/>
    <s v="3746"/>
    <s v="Brasil"/>
    <s v="Rua Líbero Badaró, 425. Bairro Sé - São Paulo, Brasil"/>
    <x v="2"/>
    <n v="4378"/>
    <n v="7.43"/>
    <x v="201"/>
    <n v="32528.539999999997"/>
    <n v="606"/>
    <x v="0"/>
  </r>
  <r>
    <x v="5"/>
    <x v="2"/>
    <s v="3576"/>
    <s v="China"/>
    <s v="Nanquim 123 - Xangai, China"/>
    <x v="8"/>
    <n v="4878"/>
    <n v="6.67"/>
    <x v="202"/>
    <n v="32536.26"/>
    <n v="-645"/>
    <x v="1"/>
  </r>
  <r>
    <x v="8"/>
    <x v="6"/>
    <s v="6225"/>
    <s v="China"/>
    <s v="Wangfujing 12456 - Pequim, China"/>
    <x v="1"/>
    <n v="6156"/>
    <n v="2.27"/>
    <x v="203"/>
    <n v="13974.12"/>
    <n v="123"/>
    <x v="0"/>
  </r>
  <r>
    <x v="13"/>
    <x v="6"/>
    <s v="4817"/>
    <s v="China"/>
    <s v="Wangfujing 12456 - Pequim, China"/>
    <x v="1"/>
    <n v="3431"/>
    <n v="7.16"/>
    <x v="204"/>
    <n v="24565.96"/>
    <n v="-594"/>
    <x v="1"/>
  </r>
  <r>
    <x v="0"/>
    <x v="3"/>
    <s v="7327"/>
    <s v="Estados Unidos"/>
    <s v="8001 S Orange Blossom Trl - Florida, United States"/>
    <x v="9"/>
    <n v="3242"/>
    <n v="8.16"/>
    <x v="205"/>
    <n v="26454.720000000001"/>
    <n v="-155"/>
    <x v="1"/>
  </r>
  <r>
    <x v="10"/>
    <x v="1"/>
    <s v="3210"/>
    <s v="Brasil"/>
    <s v="Rua Líbero Badaró, 425. Bairro Sé - São Paulo, Brasil"/>
    <x v="2"/>
    <n v="7690"/>
    <n v="7.22"/>
    <x v="206"/>
    <n v="55521.799999999996"/>
    <n v="395"/>
    <x v="0"/>
  </r>
  <r>
    <x v="2"/>
    <x v="7"/>
    <s v="2386"/>
    <s v="Argentina"/>
    <s v="Calle Mitre 123 - Bariloche, Argentina"/>
    <x v="7"/>
    <n v="4018"/>
    <n v="4.8099999999999996"/>
    <x v="141"/>
    <n v="19326.579999999998"/>
    <n v="329"/>
    <x v="0"/>
  </r>
  <r>
    <x v="0"/>
    <x v="2"/>
    <s v="5690"/>
    <s v="China"/>
    <s v="Wangfujing 12456 - Pequim, China"/>
    <x v="1"/>
    <n v="7047"/>
    <n v="3.86"/>
    <x v="207"/>
    <n v="27201.42"/>
    <n v="-322"/>
    <x v="1"/>
  </r>
  <r>
    <x v="4"/>
    <x v="2"/>
    <s v="1779"/>
    <s v="Estados Unidos"/>
    <s v="8001 S Orange Blossom Trl - Florida, United States"/>
    <x v="9"/>
    <n v="4400"/>
    <n v="7.42"/>
    <x v="208"/>
    <n v="32648"/>
    <n v="-243"/>
    <x v="1"/>
  </r>
  <r>
    <x v="11"/>
    <x v="7"/>
    <s v="7025"/>
    <s v="Estados Unidos"/>
    <s v="Cupertino, CA 95014 - Califórina, United States"/>
    <x v="10"/>
    <n v="7408"/>
    <n v="5.76"/>
    <x v="166"/>
    <n v="42670.080000000002"/>
    <n v="569"/>
    <x v="0"/>
  </r>
  <r>
    <x v="15"/>
    <x v="8"/>
    <s v="2351"/>
    <s v="Estados Unidos"/>
    <s v="8001 S Orange Blossom Trl - Florida, United States"/>
    <x v="9"/>
    <n v="2013"/>
    <n v="3.52"/>
    <x v="209"/>
    <n v="7085.76"/>
    <n v="-57"/>
    <x v="1"/>
  </r>
  <r>
    <x v="18"/>
    <x v="2"/>
    <s v="6464"/>
    <s v="China"/>
    <s v="Nanquim 123 - Xangai, China"/>
    <x v="8"/>
    <n v="1532"/>
    <n v="5.55"/>
    <x v="210"/>
    <n v="8502.6"/>
    <n v="320"/>
    <x v="0"/>
  </r>
  <r>
    <x v="3"/>
    <x v="5"/>
    <s v="7108"/>
    <s v="Estados Unidos"/>
    <s v="8001 S Orange Blossom Trl - Florida, United States"/>
    <x v="9"/>
    <n v="4534"/>
    <n v="2.0299999999999998"/>
    <x v="211"/>
    <n v="9204.0199999999986"/>
    <n v="281"/>
    <x v="0"/>
  </r>
  <r>
    <x v="6"/>
    <x v="7"/>
    <s v="5198"/>
    <s v="Argentina"/>
    <s v="Calle Mitre 123 - Bariloche, Argentina"/>
    <x v="7"/>
    <n v="5064"/>
    <n v="3.71"/>
    <x v="212"/>
    <n v="18787.439999999999"/>
    <n v="-637"/>
    <x v="1"/>
  </r>
  <r>
    <x v="11"/>
    <x v="4"/>
    <s v="7381"/>
    <s v="Argentina"/>
    <s v="Calle Mitre 123 - Bariloche, Argentina"/>
    <x v="7"/>
    <n v="5588"/>
    <n v="5.7"/>
    <x v="213"/>
    <n v="31851.600000000002"/>
    <n v="-661"/>
    <x v="1"/>
  </r>
  <r>
    <x v="7"/>
    <x v="2"/>
    <s v="7728"/>
    <s v="Brasil"/>
    <s v="Rua Líbero Badaró, 425. Bairro Sé - São Paulo, Brasil"/>
    <x v="2"/>
    <n v="3882"/>
    <n v="4.2699999999999996"/>
    <x v="214"/>
    <n v="16576.14"/>
    <n v="-780"/>
    <x v="1"/>
  </r>
  <r>
    <x v="14"/>
    <x v="8"/>
    <s v="5738"/>
    <s v="Argentina"/>
    <s v="Calle Mitre 123 - Bariloche, Argentina"/>
    <x v="7"/>
    <n v="5680"/>
    <n v="6.76"/>
    <x v="215"/>
    <n v="38396.799999999996"/>
    <n v="-419"/>
    <x v="1"/>
  </r>
  <r>
    <x v="13"/>
    <x v="7"/>
    <s v="3386"/>
    <s v="Brasil"/>
    <s v="Rua Líbero Badaró, 425. Bairro Sé - São Paulo, Brasil"/>
    <x v="2"/>
    <n v="4974"/>
    <n v="5.48"/>
    <x v="216"/>
    <n v="27257.52"/>
    <n v="328"/>
    <x v="0"/>
  </r>
  <r>
    <x v="7"/>
    <x v="5"/>
    <s v="4754"/>
    <s v="Argentina"/>
    <s v="Marcelo T. de Alvear 120 - Cordoba, Argentina"/>
    <x v="3"/>
    <n v="4436"/>
    <n v="4.95"/>
    <x v="217"/>
    <n v="21958.2"/>
    <n v="548"/>
    <x v="0"/>
  </r>
  <r>
    <x v="4"/>
    <x v="1"/>
    <s v="6539"/>
    <s v="China"/>
    <s v="Wangfujing 12456 - Pequim, China"/>
    <x v="1"/>
    <n v="3088"/>
    <n v="4.33"/>
    <x v="164"/>
    <n v="13371.04"/>
    <n v="445"/>
    <x v="0"/>
  </r>
  <r>
    <x v="16"/>
    <x v="4"/>
    <s v="6149"/>
    <s v="China"/>
    <s v="Nanquim 123 - Xangai, China"/>
    <x v="8"/>
    <n v="3274"/>
    <n v="8.32"/>
    <x v="218"/>
    <n v="27239.68"/>
    <n v="-786"/>
    <x v="1"/>
  </r>
  <r>
    <x v="5"/>
    <x v="5"/>
    <s v="4300"/>
    <s v="China"/>
    <s v="Wangfujing 12456 - Pequim, China"/>
    <x v="1"/>
    <n v="6254"/>
    <n v="5.86"/>
    <x v="219"/>
    <n v="36648.44"/>
    <n v="-329"/>
    <x v="1"/>
  </r>
  <r>
    <x v="9"/>
    <x v="1"/>
    <s v="3207"/>
    <s v="China"/>
    <s v="Wangfujing 12456 - Pequim, China"/>
    <x v="1"/>
    <n v="1737"/>
    <n v="8.59"/>
    <x v="220"/>
    <n v="14920.83"/>
    <n v="139"/>
    <x v="0"/>
  </r>
  <r>
    <x v="2"/>
    <x v="5"/>
    <s v="7088"/>
    <s v="Estados Unidos"/>
    <s v="Cupertino, CA 95014 - Califórina, United States"/>
    <x v="10"/>
    <n v="8128"/>
    <n v="3.64"/>
    <x v="221"/>
    <n v="29585.920000000002"/>
    <n v="270"/>
    <x v="0"/>
  </r>
  <r>
    <x v="6"/>
    <x v="7"/>
    <s v="1371"/>
    <s v="Brasil"/>
    <s v="Rua Líbero Badaró, 425. Bairro Sé - São Paulo, Brasil"/>
    <x v="2"/>
    <n v="3981"/>
    <n v="3.71"/>
    <x v="222"/>
    <n v="14769.51"/>
    <n v="-186"/>
    <x v="1"/>
  </r>
  <r>
    <x v="15"/>
    <x v="2"/>
    <s v="3647"/>
    <s v="Estados Unidos"/>
    <s v="8001 S Orange Blossom Trl - Florida, United States"/>
    <x v="9"/>
    <n v="2056"/>
    <n v="1.67"/>
    <x v="223"/>
    <n v="3433.52"/>
    <n v="-471"/>
    <x v="1"/>
  </r>
  <r>
    <x v="1"/>
    <x v="1"/>
    <s v="3175"/>
    <s v="China"/>
    <s v="Wangfujing 12456 - Pequim, China"/>
    <x v="1"/>
    <n v="4163"/>
    <n v="9.24"/>
    <x v="224"/>
    <n v="38466.120000000003"/>
    <n v="-373"/>
    <x v="1"/>
  </r>
  <r>
    <x v="4"/>
    <x v="7"/>
    <s v="4962"/>
    <s v="China"/>
    <s v="Nanquim 123 - Xangai, China"/>
    <x v="8"/>
    <n v="5172"/>
    <n v="5.79"/>
    <x v="225"/>
    <n v="29945.88"/>
    <n v="-463"/>
    <x v="1"/>
  </r>
  <r>
    <x v="8"/>
    <x v="9"/>
    <s v="9999"/>
    <s v="Brasil"/>
    <s v="Rua Líbero Badaró, 425. Bairro Sé - São Paulo, Brasil"/>
    <x v="2"/>
    <n v="7690"/>
    <n v="7.22"/>
    <x v="206"/>
    <n v="55521.799999999996"/>
    <n v="395"/>
    <x v="0"/>
  </r>
  <r>
    <x v="7"/>
    <x v="10"/>
    <s v="7088"/>
    <s v="Estados Unidos"/>
    <s v="Cupertino, CA 95014 - Califórina, United States"/>
    <x v="10"/>
    <n v="8128"/>
    <n v="3.64"/>
    <x v="221"/>
    <n v="29585.920000000002"/>
    <n v="27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AD9D7E-80E3-444A-9BDF-2A79307CD3CD}" name="Tabela dinâmica7" cacheId="1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Marca">
  <location ref="A112:B124" firstHeaderRow="1" firstDataRow="1" firstDataCol="1"/>
  <pivotFields count="12">
    <pivotField showAll="0"/>
    <pivotField axis="axisRow" showAll="0">
      <items count="12">
        <item x="3"/>
        <item x="6"/>
        <item x="4"/>
        <item x="5"/>
        <item x="7"/>
        <item x="10"/>
        <item x="2"/>
        <item x="1"/>
        <item x="0"/>
        <item x="8"/>
        <item x="9"/>
        <item t="default"/>
      </items>
    </pivotField>
    <pivotField showAll="0"/>
    <pivotField showAll="0"/>
    <pivotField showAll="0"/>
    <pivotField showAll="0"/>
    <pivotField numFmtId="3" showAll="0"/>
    <pivotField dataField="1" numFmtId="44" showAll="0"/>
    <pivotField numFmtId="14" showAll="0"/>
    <pivotField numFmtId="44" showAll="0"/>
    <pivotField numFmtId="1"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Média de Valor Unitário" fld="7" subtotal="average" baseField="1" baseItem="0" numFmtId="44"/>
  </dataFields>
  <formats count="7">
    <format dxfId="21">
      <pivotArea outline="0" collapsedLevelsAreSubtotals="1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0145C1-80E5-47AC-BF7B-AAF79CFDD0FB}" name="Tabela dinâmica6" cacheId="1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Produto" colHeaderCaption="Classificação de Validade">
  <location ref="A88:E109" firstHeaderRow="1" firstDataRow="2" firstDataCol="1"/>
  <pivotFields count="12">
    <pivotField axis="axisRow" showAll="0">
      <items count="21">
        <item m="1" x="19"/>
        <item x="14"/>
        <item x="1"/>
        <item x="3"/>
        <item x="10"/>
        <item x="6"/>
        <item x="8"/>
        <item x="7"/>
        <item x="2"/>
        <item x="13"/>
        <item x="11"/>
        <item x="12"/>
        <item x="9"/>
        <item x="15"/>
        <item x="18"/>
        <item x="5"/>
        <item x="0"/>
        <item x="16"/>
        <item x="4"/>
        <item x="17"/>
        <item t="default"/>
      </items>
    </pivotField>
    <pivotField showAll="0"/>
    <pivotField showAll="0"/>
    <pivotField showAll="0"/>
    <pivotField showAll="0"/>
    <pivotField showAll="0"/>
    <pivotField numFmtId="3" showAll="0"/>
    <pivotField numFmtId="44" showAll="0"/>
    <pivotField numFmtId="14" showAll="0"/>
    <pivotField dataField="1" numFmtId="44" showAll="0"/>
    <pivotField numFmtId="1" showAll="0"/>
    <pivotField axis="axisCol" showAll="0">
      <items count="4">
        <item x="0"/>
        <item x="2"/>
        <item x="1"/>
        <item t="default"/>
      </items>
    </pivotField>
  </pivotFields>
  <rowFields count="1">
    <field x="0"/>
  </rowFields>
  <rowItems count="2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Valor Total em Estoque" fld="9" baseField="0" baseItem="0" numFmtId="44"/>
  </dataFields>
  <formats count="2">
    <format dxfId="34">
      <pivotArea type="all" dataOnly="0" outline="0" fieldPosition="0"/>
    </format>
    <format dxfId="3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8DFFF6-26E5-48A5-A817-FFFA1556903A}" name="Tabela dinâmica5" cacheId="1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Produto" colHeaderCaption="Classificação de Validade">
  <location ref="A64:E85" firstHeaderRow="1" firstDataRow="2" firstDataCol="1"/>
  <pivotFields count="12">
    <pivotField axis="axisRow" showAll="0">
      <items count="21">
        <item m="1" x="19"/>
        <item x="14"/>
        <item x="1"/>
        <item x="3"/>
        <item x="10"/>
        <item x="6"/>
        <item x="8"/>
        <item x="7"/>
        <item x="2"/>
        <item x="13"/>
        <item x="11"/>
        <item x="12"/>
        <item x="9"/>
        <item x="15"/>
        <item x="18"/>
        <item x="5"/>
        <item x="0"/>
        <item x="16"/>
        <item x="4"/>
        <item x="17"/>
        <item t="default"/>
      </items>
    </pivotField>
    <pivotField showAll="0"/>
    <pivotField showAll="0"/>
    <pivotField showAll="0"/>
    <pivotField showAll="0"/>
    <pivotField showAll="0"/>
    <pivotField dataField="1" showAll="0"/>
    <pivotField numFmtId="44"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44" showAll="0"/>
    <pivotField numFmtId="1" showAll="0"/>
    <pivotField axis="axisCol" showAll="0">
      <items count="4">
        <item x="0"/>
        <item x="2"/>
        <item x="1"/>
        <item t="default"/>
      </items>
    </pivotField>
  </pivotFields>
  <rowFields count="1">
    <field x="0"/>
  </rowFields>
  <rowItems count="2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Quantidade em Estoque" fld="6" baseField="0" baseItem="0" numFmtId="3"/>
  </dataFields>
  <formats count="2">
    <format dxfId="128">
      <pivotArea type="all" dataOnly="0" outline="0" fieldPosition="0"/>
    </format>
    <format dxfId="1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F6CB86-C3B5-4844-9555-AF31E03440D0}" name="Tabela dinâmica4" cacheId="1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Marca">
  <location ref="A49:B61" firstHeaderRow="1" firstDataRow="1" firstDataCol="1"/>
  <pivotFields count="12">
    <pivotField showAll="0"/>
    <pivotField axis="axisRow" showAll="0" sortType="descending">
      <items count="12">
        <item x="3"/>
        <item x="6"/>
        <item x="4"/>
        <item x="5"/>
        <item x="7"/>
        <item x="10"/>
        <item x="2"/>
        <item x="1"/>
        <item x="0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44" showAll="0"/>
    <pivotField numFmtId="14" showAll="0"/>
    <pivotField dataField="1" numFmtId="44" showAll="0"/>
    <pivotField numFmtId="1" showAll="0"/>
    <pivotField showAll="0"/>
  </pivotFields>
  <rowFields count="1">
    <field x="1"/>
  </rowFields>
  <rowItems count="12">
    <i>
      <x v="2"/>
    </i>
    <i>
      <x/>
    </i>
    <i>
      <x v="6"/>
    </i>
    <i>
      <x v="3"/>
    </i>
    <i>
      <x v="4"/>
    </i>
    <i>
      <x v="9"/>
    </i>
    <i>
      <x v="7"/>
    </i>
    <i>
      <x v="1"/>
    </i>
    <i>
      <x v="10"/>
    </i>
    <i>
      <x v="5"/>
    </i>
    <i>
      <x v="8"/>
    </i>
    <i t="grand">
      <x/>
    </i>
  </rowItems>
  <colItems count="1">
    <i/>
  </colItems>
  <dataFields count="1">
    <dataField name="Valor Total em Estoque" fld="9" baseField="0" baseItem="0" numFmtId="44"/>
  </dataFields>
  <formats count="7">
    <format dxfId="179">
      <pivotArea type="all" dataOnly="0" outline="0" fieldPosition="0"/>
    </format>
    <format dxfId="178">
      <pivotArea outline="0" collapsedLevelsAreSubtotals="1" fieldPosition="0"/>
    </format>
    <format dxfId="177">
      <pivotArea field="1" type="button" dataOnly="0" labelOnly="1" outline="0" axis="axisRow" fieldPosition="0"/>
    </format>
    <format dxfId="176">
      <pivotArea dataOnly="0" labelOnly="1" fieldPosition="0">
        <references count="1">
          <reference field="1" count="0"/>
        </references>
      </pivotArea>
    </format>
    <format dxfId="175">
      <pivotArea dataOnly="0" labelOnly="1" grandRow="1" outline="0" fieldPosition="0"/>
    </format>
    <format dxfId="174">
      <pivotArea dataOnly="0" labelOnly="1" outline="0" axis="axisValues" fieldPosition="0"/>
    </format>
    <format dxfId="17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BB66A3-DA13-4C2D-8B34-058460E13360}" name="Tabela dinâmica3" cacheId="1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Estado">
  <location ref="A34:B46" firstHeaderRow="1" firstDataRow="1" firstDataCol="1"/>
  <pivotFields count="12">
    <pivotField showAll="0"/>
    <pivotField showAll="0"/>
    <pivotField showAll="0"/>
    <pivotField showAll="0"/>
    <pivotField showAll="0"/>
    <pivotField axis="axisRow" showAll="0" sortType="descending">
      <items count="12">
        <item x="0"/>
        <item x="7"/>
        <item x="6"/>
        <item x="10"/>
        <item x="3"/>
        <item x="9"/>
        <item x="5"/>
        <item x="1"/>
        <item x="4"/>
        <item x="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numFmtId="44" showAll="0"/>
    <pivotField numFmtId="14" showAll="0"/>
    <pivotField numFmtId="44" showAll="0"/>
    <pivotField numFmtId="1" showAll="0"/>
    <pivotField showAll="0"/>
  </pivotFields>
  <rowFields count="1">
    <field x="5"/>
  </rowFields>
  <rowItems count="12">
    <i>
      <x v="10"/>
    </i>
    <i>
      <x v="9"/>
    </i>
    <i>
      <x v="7"/>
    </i>
    <i>
      <x v="3"/>
    </i>
    <i>
      <x v="5"/>
    </i>
    <i>
      <x v="8"/>
    </i>
    <i>
      <x v="1"/>
    </i>
    <i>
      <x v="4"/>
    </i>
    <i>
      <x v="2"/>
    </i>
    <i>
      <x v="6"/>
    </i>
    <i>
      <x/>
    </i>
    <i t="grand">
      <x/>
    </i>
  </rowItems>
  <colItems count="1">
    <i/>
  </colItems>
  <dataFields count="1">
    <dataField name="Quantidade em Estoque" fld="6" baseField="0" baseItem="0" numFmtId="3"/>
  </dataFields>
  <formats count="8">
    <format dxfId="187">
      <pivotArea type="all" dataOnly="0" outline="0" fieldPosition="0"/>
    </format>
    <format dxfId="186">
      <pivotArea outline="0" collapsedLevelsAreSubtotals="1" fieldPosition="0"/>
    </format>
    <format dxfId="185">
      <pivotArea field="5" type="button" dataOnly="0" labelOnly="1" outline="0" axis="axisRow" fieldPosition="0"/>
    </format>
    <format dxfId="184">
      <pivotArea dataOnly="0" labelOnly="1" fieldPosition="0">
        <references count="1">
          <reference field="5" count="0"/>
        </references>
      </pivotArea>
    </format>
    <format dxfId="183">
      <pivotArea dataOnly="0" labelOnly="1" grandRow="1" outline="0" fieldPosition="0"/>
    </format>
    <format dxfId="182">
      <pivotArea dataOnly="0" labelOnly="1" outline="0" axis="axisValues" fieldPosition="0"/>
    </format>
    <format dxfId="181">
      <pivotArea outline="0" collapsedLevelsAreSubtotals="1" fieldPosition="0"/>
    </format>
    <format dxfId="180">
      <pivotArea field="5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FAE8A3-5D2F-4AED-93BD-E67DB2937C59}" name="Tabela dinâmica1" cacheId="1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Produto">
  <location ref="A25:B31" firstHeaderRow="1" firstDataRow="1" firstDataCol="1"/>
  <pivotFields count="12">
    <pivotField axis="axisRow" showAll="0" measureFilter="1" sortType="descending">
      <items count="21">
        <item m="1" x="19"/>
        <item x="14"/>
        <item x="1"/>
        <item x="3"/>
        <item x="10"/>
        <item x="6"/>
        <item x="8"/>
        <item x="7"/>
        <item x="2"/>
        <item x="13"/>
        <item x="11"/>
        <item x="12"/>
        <item x="9"/>
        <item x="15"/>
        <item x="18"/>
        <item x="5"/>
        <item x="0"/>
        <item x="16"/>
        <item x="4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44" showAll="0"/>
    <pivotField numFmtId="14" showAll="0"/>
    <pivotField dataField="1" numFmtId="44" showAll="0"/>
    <pivotField numFmtId="1" showAll="0"/>
    <pivotField showAll="0"/>
  </pivotFields>
  <rowFields count="1">
    <field x="0"/>
  </rowFields>
  <rowItems count="6">
    <i>
      <x v="3"/>
    </i>
    <i>
      <x v="18"/>
    </i>
    <i>
      <x v="10"/>
    </i>
    <i>
      <x v="12"/>
    </i>
    <i>
      <x v="2"/>
    </i>
    <i t="grand">
      <x/>
    </i>
  </rowItems>
  <colItems count="1">
    <i/>
  </colItems>
  <dataFields count="1">
    <dataField name="Valor Total em Estoque" fld="9" baseField="0" baseItem="3" numFmtId="44"/>
  </dataFields>
  <formats count="8">
    <format dxfId="195">
      <pivotArea outline="0" collapsedLevelsAreSubtotals="1" fieldPosition="0"/>
    </format>
    <format dxfId="194">
      <pivotArea type="all" dataOnly="0" outline="0" fieldPosition="0"/>
    </format>
    <format dxfId="193">
      <pivotArea outline="0" collapsedLevelsAreSubtotals="1" fieldPosition="0"/>
    </format>
    <format dxfId="192">
      <pivotArea field="0" type="button" dataOnly="0" labelOnly="1" outline="0" axis="axisRow" fieldPosition="0"/>
    </format>
    <format dxfId="191">
      <pivotArea dataOnly="0" labelOnly="1" fieldPosition="0">
        <references count="1">
          <reference field="0" count="5">
            <x v="2"/>
            <x v="3"/>
            <x v="10"/>
            <x v="12"/>
            <x v="18"/>
          </reference>
        </references>
      </pivotArea>
    </format>
    <format dxfId="190">
      <pivotArea dataOnly="0" labelOnly="1" grandRow="1" outline="0" fieldPosition="0"/>
    </format>
    <format dxfId="189">
      <pivotArea dataOnly="0" labelOnly="1" outline="0" axis="axisValues" fieldPosition="0"/>
    </format>
    <format dxfId="188">
      <pivotArea field="0" type="button" dataOnly="0" labelOnly="1" outline="0" axis="axisRow" fieldPosition="0"/>
    </format>
  </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A94A7E-73F8-4AD1-B7D0-73E7435C1B53}" name="Tabela dinâmica2" cacheId="1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Produto">
  <location ref="A2:B22" firstHeaderRow="1" firstDataRow="1" firstDataCol="1"/>
  <pivotFields count="12">
    <pivotField axis="axisRow" showAll="0" sortType="descending">
      <items count="21">
        <item m="1" x="19"/>
        <item x="14"/>
        <item x="1"/>
        <item x="3"/>
        <item x="10"/>
        <item x="6"/>
        <item x="8"/>
        <item x="7"/>
        <item x="2"/>
        <item x="13"/>
        <item x="11"/>
        <item x="12"/>
        <item x="9"/>
        <item x="15"/>
        <item x="18"/>
        <item x="5"/>
        <item x="0"/>
        <item x="16"/>
        <item x="4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44" showAll="0"/>
    <pivotField numFmtId="14" showAll="0"/>
    <pivotField dataField="1" numFmtId="44" showAll="0"/>
    <pivotField numFmtId="1" showAll="0"/>
    <pivotField showAll="0"/>
  </pivotFields>
  <rowFields count="1">
    <field x="0"/>
  </rowFields>
  <rowItems count="20">
    <i>
      <x v="3"/>
    </i>
    <i>
      <x v="18"/>
    </i>
    <i>
      <x v="10"/>
    </i>
    <i>
      <x v="12"/>
    </i>
    <i>
      <x v="2"/>
    </i>
    <i>
      <x v="4"/>
    </i>
    <i>
      <x v="1"/>
    </i>
    <i>
      <x v="8"/>
    </i>
    <i>
      <x v="9"/>
    </i>
    <i>
      <x v="16"/>
    </i>
    <i>
      <x v="5"/>
    </i>
    <i>
      <x v="6"/>
    </i>
    <i>
      <x v="7"/>
    </i>
    <i>
      <x v="15"/>
    </i>
    <i>
      <x v="14"/>
    </i>
    <i>
      <x v="19"/>
    </i>
    <i>
      <x v="17"/>
    </i>
    <i>
      <x v="13"/>
    </i>
    <i>
      <x v="11"/>
    </i>
    <i t="grand">
      <x/>
    </i>
  </rowItems>
  <colItems count="1">
    <i/>
  </colItems>
  <dataFields count="1">
    <dataField name="Valor Total em Estoque" fld="9" baseField="0" baseItem="3" numFmtId="44"/>
  </dataFields>
  <formats count="9">
    <format dxfId="204">
      <pivotArea type="all" dataOnly="0" outline="0" fieldPosition="0"/>
    </format>
    <format dxfId="203">
      <pivotArea outline="0" collapsedLevelsAreSubtotals="1" fieldPosition="0"/>
    </format>
    <format dxfId="202">
      <pivotArea field="0" type="button" dataOnly="0" labelOnly="1" outline="0" axis="axisRow" fieldPosition="0"/>
    </format>
    <format dxfId="201">
      <pivotArea dataOnly="0" labelOnly="1" fieldPosition="0">
        <references count="1">
          <reference field="0" count="0"/>
        </references>
      </pivotArea>
    </format>
    <format dxfId="200">
      <pivotArea dataOnly="0" labelOnly="1" grandRow="1" outline="0" fieldPosition="0"/>
    </format>
    <format dxfId="199">
      <pivotArea dataOnly="0" labelOnly="1" outline="0" axis="axisValues" fieldPosition="0"/>
    </format>
    <format dxfId="198">
      <pivotArea outline="0" collapsedLevelsAreSubtotals="1" fieldPosition="0"/>
    </format>
    <format dxfId="197">
      <pivotArea grandRow="1" outline="0" collapsedLevelsAreSubtotals="1" fieldPosition="0"/>
    </format>
    <format dxfId="196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D9A4B6DC-AAD2-4811-989A-6521373D3C84}" autoFormatId="16" applyNumberFormats="0" applyBorderFormats="0" applyFontFormats="0" applyPatternFormats="0" applyAlignmentFormats="0" applyWidthHeightFormats="0">
  <queryTableRefresh nextId="13" unboundColumnsRight="3">
    <queryTableFields count="12">
      <queryTableField id="1" name="Produto" tableColumnId="1"/>
      <queryTableField id="2" name="Marca" tableColumnId="2"/>
      <queryTableField id="3" name="Lote" tableColumnId="3"/>
      <queryTableField id="4" name="País Origem" tableColumnId="4"/>
      <queryTableField id="5" name="Endereço" tableColumnId="5"/>
      <queryTableField id="6" name="Estado" tableColumnId="6"/>
      <queryTableField id="7" name="Qtd Estoque" tableColumnId="7"/>
      <queryTableField id="8" name="Valor Unitário" tableColumnId="8"/>
      <queryTableField id="9" name="Validade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BAF1CC-ACA6-4694-A86A-E681A3EBDCD9}" name="Estoque" displayName="Estoque" ref="A1:L245" tableType="queryTable" totalsRowShown="0" headerRowDxfId="208" headerRowBorderDxfId="207" tableBorderDxfId="206" totalsRowBorderDxfId="205">
  <autoFilter ref="A1:L245" xr:uid="{22BAF1CC-ACA6-4694-A86A-E681A3EBDCD9}"/>
  <tableColumns count="12">
    <tableColumn id="1" xr3:uid="{F6BD7198-5BB0-4854-A43E-5320AD345AB7}" uniqueName="1" name="Produto" queryTableFieldId="1" dataDxfId="140"/>
    <tableColumn id="2" xr3:uid="{11E48118-3E75-4292-A3DC-8BFF35E198C9}" uniqueName="2" name="Marca" queryTableFieldId="2" dataDxfId="139"/>
    <tableColumn id="3" xr3:uid="{EBE6A630-B95A-446F-9A45-0E8F033E277E}" uniqueName="3" name="Lote" queryTableFieldId="3" dataDxfId="138"/>
    <tableColumn id="4" xr3:uid="{0EF92691-93CA-4C1A-8EE3-77C3DF8A1ECE}" uniqueName="4" name="País Origem" queryTableFieldId="4" dataDxfId="137"/>
    <tableColumn id="5" xr3:uid="{E58F07AE-2B8B-465C-B3EE-92FEF55B2C5C}" uniqueName="5" name="Endereço" queryTableFieldId="5" dataDxfId="136"/>
    <tableColumn id="6" xr3:uid="{FEA7DDA3-AAB8-422F-B182-C07641AF0BAA}" uniqueName="6" name="Estado" queryTableFieldId="6" dataDxfId="135"/>
    <tableColumn id="7" xr3:uid="{F5A8FB75-89EE-44D0-AF4F-FBDCDDACDCF0}" uniqueName="7" name="Qtd Estoque" queryTableFieldId="7" dataDxfId="134"/>
    <tableColumn id="8" xr3:uid="{A6C7BF51-2561-428A-AEC8-544B9D31D1EA}" uniqueName="8" name="Valor Unitário" queryTableFieldId="8" dataDxfId="133" dataCellStyle="Moeda"/>
    <tableColumn id="9" xr3:uid="{309A90C5-1D26-4E3F-88A8-8F18367BD5A9}" uniqueName="9" name="Validade" queryTableFieldId="9" dataDxfId="132"/>
    <tableColumn id="10" xr3:uid="{3C4E9657-0D1A-460D-B14A-04271B0FA9B8}" uniqueName="10" name="Valor Total" queryTableFieldId="10" dataDxfId="131">
      <calculatedColumnFormula>Estoque[[#This Row],[Qtd Estoque]]*Estoque[[#This Row],[Valor Unitário]]</calculatedColumnFormula>
    </tableColumn>
    <tableColumn id="11" xr3:uid="{E4000DCF-F561-40BB-9E7F-939DF969E269}" uniqueName="11" name="Dias para Vencer" queryTableFieldId="11" dataDxfId="130">
      <calculatedColumnFormula>Estoque[[#This Row],[Validade]]-TODAY()</calculatedColumnFormula>
    </tableColumn>
    <tableColumn id="12" xr3:uid="{41BE2CD3-E309-4763-892C-1235202D7C1C}" uniqueName="12" name="Classificação" queryTableFieldId="12" dataDxfId="129">
      <calculatedColumnFormula>IF(Estoque[[#This Row],[Dias para Vencer]]&lt;0,"Vencido",IF(Estoque[[#This Row],[Dias para Vencer]] &lt;=30, "Risco de Vencimento","OK"))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EE191-1A8E-4F8D-A694-60B96AF3B4BD}">
  <dimension ref="A1:G450"/>
  <sheetViews>
    <sheetView zoomScaleNormal="100" workbookViewId="0">
      <selection activeCell="E13" sqref="E13"/>
    </sheetView>
  </sheetViews>
  <sheetFormatPr defaultRowHeight="15" x14ac:dyDescent="0.25"/>
  <cols>
    <col min="1" max="1" width="23.85546875" style="2" bestFit="1" customWidth="1"/>
    <col min="2" max="3" width="14.42578125" style="2" customWidth="1"/>
    <col min="4" max="4" width="50.7109375" style="2" bestFit="1" customWidth="1"/>
    <col min="5" max="5" width="14.42578125" style="4" customWidth="1"/>
    <col min="6" max="7" width="14.42578125" style="2" customWidth="1"/>
  </cols>
  <sheetData>
    <row r="1" spans="1:7" x14ac:dyDescent="0.25">
      <c r="B1" s="3"/>
    </row>
    <row r="3" spans="1:7" x14ac:dyDescent="0.25">
      <c r="A3" s="2" t="s">
        <v>0</v>
      </c>
      <c r="B3" s="3" t="s">
        <v>3</v>
      </c>
      <c r="C3" s="2" t="s">
        <v>374</v>
      </c>
      <c r="D3" s="2" t="s">
        <v>373</v>
      </c>
      <c r="E3" s="4" t="s">
        <v>362</v>
      </c>
      <c r="F3" s="2" t="s">
        <v>1</v>
      </c>
      <c r="G3" s="2" t="s">
        <v>2</v>
      </c>
    </row>
    <row r="4" spans="1:7" x14ac:dyDescent="0.25">
      <c r="A4" s="8" t="s">
        <v>379</v>
      </c>
      <c r="B4" s="8" t="s">
        <v>376</v>
      </c>
      <c r="C4" s="8" t="s">
        <v>119</v>
      </c>
      <c r="D4" s="8" t="s">
        <v>377</v>
      </c>
      <c r="E4" s="9">
        <v>3000</v>
      </c>
      <c r="F4" s="10">
        <v>3</v>
      </c>
      <c r="G4" s="11">
        <v>46186</v>
      </c>
    </row>
    <row r="5" spans="1:7" x14ac:dyDescent="0.25">
      <c r="A5" s="5" t="s">
        <v>17</v>
      </c>
      <c r="B5" s="5" t="s">
        <v>134</v>
      </c>
      <c r="C5" s="5" t="s">
        <v>121</v>
      </c>
      <c r="D5" s="2" t="s">
        <v>370</v>
      </c>
      <c r="E5" s="6">
        <v>5557</v>
      </c>
      <c r="F5" s="1">
        <v>9.24</v>
      </c>
      <c r="G5" s="7">
        <v>45659</v>
      </c>
    </row>
    <row r="6" spans="1:7" x14ac:dyDescent="0.25">
      <c r="A6" s="5" t="s">
        <v>79</v>
      </c>
      <c r="B6" s="5" t="s">
        <v>135</v>
      </c>
      <c r="C6" s="5" t="s">
        <v>119</v>
      </c>
      <c r="D6" s="2" t="s">
        <v>371</v>
      </c>
      <c r="E6" s="6">
        <v>1184</v>
      </c>
      <c r="F6" s="1">
        <v>2.48</v>
      </c>
      <c r="G6" s="7">
        <v>46245</v>
      </c>
    </row>
    <row r="7" spans="1:7" x14ac:dyDescent="0.25">
      <c r="A7" s="5" t="s">
        <v>93</v>
      </c>
      <c r="B7" s="5" t="s">
        <v>136</v>
      </c>
      <c r="C7" s="5" t="s">
        <v>118</v>
      </c>
      <c r="D7" s="2" t="s">
        <v>363</v>
      </c>
      <c r="E7" s="6">
        <v>5974</v>
      </c>
      <c r="F7" s="1">
        <v>9.02</v>
      </c>
      <c r="G7" s="7">
        <v>45649</v>
      </c>
    </row>
    <row r="8" spans="1:7" x14ac:dyDescent="0.25">
      <c r="A8" s="5"/>
      <c r="B8" s="5"/>
      <c r="C8" s="5"/>
      <c r="E8" s="6"/>
      <c r="F8" s="1"/>
      <c r="G8" s="7"/>
    </row>
    <row r="9" spans="1:7" x14ac:dyDescent="0.25">
      <c r="A9" s="5" t="s">
        <v>67</v>
      </c>
      <c r="B9" s="5" t="s">
        <v>138</v>
      </c>
      <c r="C9" s="5" t="s">
        <v>119</v>
      </c>
      <c r="D9" s="2" t="s">
        <v>371</v>
      </c>
      <c r="E9" s="6">
        <v>3014</v>
      </c>
      <c r="F9" s="1">
        <v>3.16</v>
      </c>
      <c r="G9" s="7">
        <v>46425</v>
      </c>
    </row>
    <row r="10" spans="1:7" x14ac:dyDescent="0.25">
      <c r="A10" s="5" t="s">
        <v>87</v>
      </c>
      <c r="B10" s="5" t="s">
        <v>139</v>
      </c>
      <c r="C10" s="5" t="s">
        <v>119</v>
      </c>
      <c r="D10" s="2" t="s">
        <v>372</v>
      </c>
      <c r="E10" s="6">
        <v>5172</v>
      </c>
      <c r="F10" s="1">
        <v>7.41</v>
      </c>
      <c r="G10" s="7">
        <v>46657</v>
      </c>
    </row>
    <row r="11" spans="1:7" x14ac:dyDescent="0.25">
      <c r="A11" s="5" t="s">
        <v>49</v>
      </c>
      <c r="B11" s="5" t="s">
        <v>140</v>
      </c>
      <c r="C11" s="5" t="s">
        <v>118</v>
      </c>
      <c r="D11" s="2" t="s">
        <v>364</v>
      </c>
      <c r="E11" s="6">
        <v>9616</v>
      </c>
      <c r="F11" s="1">
        <v>7.42</v>
      </c>
      <c r="G11" s="7">
        <v>46089</v>
      </c>
    </row>
    <row r="12" spans="1:7" x14ac:dyDescent="0.25">
      <c r="A12" s="5" t="s">
        <v>73</v>
      </c>
      <c r="B12" s="5" t="s">
        <v>141</v>
      </c>
      <c r="C12" s="5" t="s">
        <v>119</v>
      </c>
      <c r="D12" s="2" t="s">
        <v>372</v>
      </c>
      <c r="E12" s="6">
        <v>6623</v>
      </c>
      <c r="F12" s="1">
        <v>9.24</v>
      </c>
      <c r="G12" s="7">
        <v>46216</v>
      </c>
    </row>
    <row r="13" spans="1:7" x14ac:dyDescent="0.25">
      <c r="A13" s="5" t="s">
        <v>72</v>
      </c>
      <c r="B13" s="5" t="s">
        <v>142</v>
      </c>
      <c r="C13" s="5" t="s">
        <v>118</v>
      </c>
      <c r="D13" s="2" t="s">
        <v>364</v>
      </c>
      <c r="E13" s="6">
        <v>6709</v>
      </c>
      <c r="F13" s="1">
        <v>5.86</v>
      </c>
      <c r="G13" s="7">
        <v>45698</v>
      </c>
    </row>
    <row r="14" spans="1:7" x14ac:dyDescent="0.25">
      <c r="A14" s="5"/>
      <c r="B14" s="5"/>
      <c r="C14" s="5"/>
      <c r="E14" s="6"/>
      <c r="F14" s="1"/>
      <c r="G14" s="7"/>
    </row>
    <row r="15" spans="1:7" x14ac:dyDescent="0.25">
      <c r="A15" s="5"/>
      <c r="B15" s="5"/>
      <c r="C15" s="5"/>
      <c r="E15" s="6"/>
      <c r="F15" s="1"/>
      <c r="G15" s="7"/>
    </row>
    <row r="16" spans="1:7" x14ac:dyDescent="0.25">
      <c r="A16" s="5" t="s">
        <v>35</v>
      </c>
      <c r="B16" s="5" t="s">
        <v>143</v>
      </c>
      <c r="C16" s="5" t="s">
        <v>118</v>
      </c>
      <c r="D16" s="2" t="s">
        <v>365</v>
      </c>
      <c r="E16" s="6">
        <v>6859</v>
      </c>
      <c r="F16" s="1">
        <v>2.0299999999999998</v>
      </c>
      <c r="G16" s="7">
        <v>46260</v>
      </c>
    </row>
    <row r="17" spans="1:7" x14ac:dyDescent="0.25">
      <c r="A17" s="5" t="s">
        <v>27</v>
      </c>
      <c r="B17" s="5" t="s">
        <v>144</v>
      </c>
      <c r="C17" s="5" t="s">
        <v>118</v>
      </c>
      <c r="D17" s="2" t="s">
        <v>366</v>
      </c>
      <c r="E17" s="6">
        <v>5076</v>
      </c>
      <c r="F17" s="1">
        <v>3.96</v>
      </c>
      <c r="G17" s="7">
        <v>45627</v>
      </c>
    </row>
    <row r="18" spans="1:7" x14ac:dyDescent="0.25">
      <c r="A18" s="5" t="s">
        <v>116</v>
      </c>
      <c r="B18" s="5" t="s">
        <v>145</v>
      </c>
      <c r="C18" s="5" t="s">
        <v>119</v>
      </c>
      <c r="D18" s="2" t="s">
        <v>372</v>
      </c>
      <c r="E18" s="6">
        <v>7545</v>
      </c>
      <c r="F18" s="1">
        <v>3.68</v>
      </c>
      <c r="G18" s="7">
        <v>45360</v>
      </c>
    </row>
    <row r="19" spans="1:7" x14ac:dyDescent="0.25">
      <c r="A19" s="5" t="s">
        <v>28</v>
      </c>
      <c r="B19" s="5" t="s">
        <v>146</v>
      </c>
      <c r="C19" s="5" t="s">
        <v>118</v>
      </c>
      <c r="D19" s="2" t="s">
        <v>366</v>
      </c>
      <c r="E19" s="6">
        <v>7034</v>
      </c>
      <c r="F19" s="1">
        <v>4.6500000000000004</v>
      </c>
      <c r="G19" s="7">
        <v>46654</v>
      </c>
    </row>
    <row r="20" spans="1:7" x14ac:dyDescent="0.25">
      <c r="A20" s="5"/>
      <c r="B20" s="5"/>
      <c r="C20" s="5"/>
      <c r="E20" s="6"/>
      <c r="F20" s="1"/>
      <c r="G20" s="7"/>
    </row>
    <row r="21" spans="1:7" x14ac:dyDescent="0.25">
      <c r="A21" s="5" t="s">
        <v>100</v>
      </c>
      <c r="B21" s="5" t="s">
        <v>147</v>
      </c>
      <c r="C21" s="5" t="s">
        <v>119</v>
      </c>
      <c r="D21" s="2" t="s">
        <v>372</v>
      </c>
      <c r="E21" s="6">
        <v>9036</v>
      </c>
      <c r="F21" s="1">
        <v>4.95</v>
      </c>
      <c r="G21" s="7">
        <v>45453</v>
      </c>
    </row>
    <row r="22" spans="1:7" x14ac:dyDescent="0.25">
      <c r="A22" s="5" t="s">
        <v>112</v>
      </c>
      <c r="B22" s="5" t="s">
        <v>127</v>
      </c>
      <c r="C22" s="5" t="s">
        <v>121</v>
      </c>
      <c r="D22" s="2" t="s">
        <v>370</v>
      </c>
      <c r="E22" s="6">
        <v>3968</v>
      </c>
      <c r="F22" s="1">
        <v>6.84</v>
      </c>
      <c r="G22" s="7">
        <v>46465</v>
      </c>
    </row>
    <row r="23" spans="1:7" x14ac:dyDescent="0.25">
      <c r="A23" s="5" t="s">
        <v>95</v>
      </c>
      <c r="B23" s="5" t="s">
        <v>128</v>
      </c>
      <c r="C23" s="5" t="s">
        <v>121</v>
      </c>
      <c r="D23" s="2" t="s">
        <v>369</v>
      </c>
      <c r="E23" s="6">
        <v>9826</v>
      </c>
      <c r="F23" s="1">
        <v>7.95</v>
      </c>
      <c r="G23" s="7">
        <v>46111</v>
      </c>
    </row>
    <row r="24" spans="1:7" x14ac:dyDescent="0.25">
      <c r="A24" s="5"/>
      <c r="B24" s="5"/>
      <c r="C24" s="5"/>
      <c r="E24" s="6"/>
      <c r="F24" s="1"/>
      <c r="G24" s="7"/>
    </row>
    <row r="25" spans="1:7" x14ac:dyDescent="0.25">
      <c r="A25" s="5" t="s">
        <v>63</v>
      </c>
      <c r="B25" s="5" t="s">
        <v>148</v>
      </c>
      <c r="C25" s="5" t="s">
        <v>119</v>
      </c>
      <c r="D25" s="2" t="s">
        <v>371</v>
      </c>
      <c r="E25" s="6">
        <v>7194</v>
      </c>
      <c r="F25" s="1">
        <v>7.22</v>
      </c>
      <c r="G25" s="7">
        <v>45608</v>
      </c>
    </row>
    <row r="26" spans="1:7" x14ac:dyDescent="0.25">
      <c r="A26" s="5" t="s">
        <v>43</v>
      </c>
      <c r="B26" s="5" t="s">
        <v>149</v>
      </c>
      <c r="C26" s="5" t="s">
        <v>121</v>
      </c>
      <c r="D26" s="2" t="s">
        <v>369</v>
      </c>
      <c r="E26" s="6">
        <v>7228</v>
      </c>
      <c r="F26" s="1">
        <v>5.57</v>
      </c>
      <c r="G26" s="7">
        <v>45645</v>
      </c>
    </row>
    <row r="27" spans="1:7" x14ac:dyDescent="0.25">
      <c r="A27" s="5" t="s">
        <v>12</v>
      </c>
      <c r="B27" s="5" t="s">
        <v>150</v>
      </c>
      <c r="C27" s="5" t="s">
        <v>119</v>
      </c>
      <c r="D27" s="2" t="s">
        <v>371</v>
      </c>
      <c r="E27" s="6">
        <v>9942</v>
      </c>
      <c r="F27" s="1">
        <v>5.7</v>
      </c>
      <c r="G27" s="7">
        <v>45833</v>
      </c>
    </row>
    <row r="28" spans="1:7" x14ac:dyDescent="0.25">
      <c r="A28" s="5" t="s">
        <v>97</v>
      </c>
      <c r="B28" s="5" t="s">
        <v>151</v>
      </c>
      <c r="C28" s="5" t="s">
        <v>120</v>
      </c>
      <c r="D28" s="2" t="s">
        <v>367</v>
      </c>
      <c r="E28" s="6">
        <v>4652</v>
      </c>
      <c r="F28" s="1">
        <v>6.57</v>
      </c>
      <c r="G28" s="7">
        <v>46179</v>
      </c>
    </row>
    <row r="29" spans="1:7" x14ac:dyDescent="0.25">
      <c r="A29" s="5"/>
      <c r="B29" s="5"/>
      <c r="C29" s="5"/>
      <c r="E29" s="6"/>
      <c r="F29" s="1"/>
      <c r="G29" s="7"/>
    </row>
    <row r="30" spans="1:7" x14ac:dyDescent="0.25">
      <c r="A30" s="5" t="s">
        <v>117</v>
      </c>
      <c r="B30" s="5" t="s">
        <v>152</v>
      </c>
      <c r="C30" s="5" t="s">
        <v>119</v>
      </c>
      <c r="D30" s="2" t="s">
        <v>372</v>
      </c>
      <c r="E30" s="6">
        <v>4840</v>
      </c>
      <c r="F30" s="1">
        <v>5</v>
      </c>
      <c r="G30" s="7">
        <v>45689</v>
      </c>
    </row>
    <row r="31" spans="1:7" x14ac:dyDescent="0.25">
      <c r="A31" s="5" t="s">
        <v>64</v>
      </c>
      <c r="B31" s="5" t="s">
        <v>153</v>
      </c>
      <c r="C31" s="5" t="s">
        <v>119</v>
      </c>
      <c r="D31" s="2" t="s">
        <v>372</v>
      </c>
      <c r="E31" s="6">
        <v>6986</v>
      </c>
      <c r="F31" s="1">
        <v>7.59</v>
      </c>
      <c r="G31" s="7">
        <v>45907</v>
      </c>
    </row>
    <row r="32" spans="1:7" x14ac:dyDescent="0.25">
      <c r="A32" s="5" t="s">
        <v>24</v>
      </c>
      <c r="B32" s="5" t="s">
        <v>154</v>
      </c>
      <c r="C32" s="5" t="s">
        <v>120</v>
      </c>
      <c r="D32" s="2" t="s">
        <v>367</v>
      </c>
      <c r="E32" s="6">
        <v>9273</v>
      </c>
      <c r="F32" s="1">
        <v>7.16</v>
      </c>
      <c r="G32" s="7">
        <v>45882</v>
      </c>
    </row>
    <row r="33" spans="1:7" x14ac:dyDescent="0.25">
      <c r="A33" s="5" t="s">
        <v>50</v>
      </c>
      <c r="B33" s="5" t="s">
        <v>155</v>
      </c>
      <c r="C33" s="5" t="s">
        <v>119</v>
      </c>
      <c r="D33" s="2" t="s">
        <v>371</v>
      </c>
      <c r="E33" s="6">
        <v>3044</v>
      </c>
      <c r="F33" s="1">
        <v>5</v>
      </c>
      <c r="G33" s="7">
        <v>45667</v>
      </c>
    </row>
    <row r="34" spans="1:7" x14ac:dyDescent="0.25">
      <c r="A34" s="5" t="s">
        <v>43</v>
      </c>
      <c r="B34" s="5" t="s">
        <v>156</v>
      </c>
      <c r="C34" s="5" t="s">
        <v>121</v>
      </c>
      <c r="D34" s="2" t="s">
        <v>369</v>
      </c>
      <c r="E34" s="6">
        <v>4361</v>
      </c>
      <c r="F34" s="1">
        <v>5.57</v>
      </c>
      <c r="G34" s="7">
        <v>45512</v>
      </c>
    </row>
    <row r="35" spans="1:7" x14ac:dyDescent="0.25">
      <c r="A35" s="5" t="s">
        <v>89</v>
      </c>
      <c r="B35" s="5" t="s">
        <v>157</v>
      </c>
      <c r="C35" s="5" t="s">
        <v>118</v>
      </c>
      <c r="D35" s="2" t="s">
        <v>365</v>
      </c>
      <c r="E35" s="6">
        <v>4528</v>
      </c>
      <c r="F35" s="1">
        <v>8.16</v>
      </c>
      <c r="G35" s="7">
        <v>45731</v>
      </c>
    </row>
    <row r="36" spans="1:7" x14ac:dyDescent="0.25">
      <c r="A36" s="5" t="s">
        <v>18</v>
      </c>
      <c r="B36" s="5" t="s">
        <v>158</v>
      </c>
      <c r="C36" s="5" t="s">
        <v>118</v>
      </c>
      <c r="D36" s="2" t="s">
        <v>363</v>
      </c>
      <c r="E36" s="6">
        <v>9228</v>
      </c>
      <c r="F36" s="1">
        <v>7.67</v>
      </c>
      <c r="G36" s="7">
        <v>46589</v>
      </c>
    </row>
    <row r="37" spans="1:7" x14ac:dyDescent="0.25">
      <c r="A37" s="5" t="s">
        <v>62</v>
      </c>
      <c r="B37" s="5" t="s">
        <v>159</v>
      </c>
      <c r="C37" s="5" t="s">
        <v>119</v>
      </c>
      <c r="D37" s="2" t="s">
        <v>371</v>
      </c>
      <c r="E37" s="6">
        <v>2323</v>
      </c>
      <c r="F37" s="1">
        <v>5.76</v>
      </c>
      <c r="G37" s="7">
        <v>45874</v>
      </c>
    </row>
    <row r="38" spans="1:7" x14ac:dyDescent="0.25">
      <c r="A38" s="5" t="s">
        <v>55</v>
      </c>
      <c r="B38" s="5" t="s">
        <v>160</v>
      </c>
      <c r="C38" s="5" t="s">
        <v>119</v>
      </c>
      <c r="D38" s="2" t="s">
        <v>372</v>
      </c>
      <c r="E38" s="6">
        <v>2561</v>
      </c>
      <c r="F38" s="1">
        <v>5.32</v>
      </c>
      <c r="G38" s="7">
        <v>46083</v>
      </c>
    </row>
    <row r="39" spans="1:7" x14ac:dyDescent="0.25">
      <c r="A39" s="5"/>
      <c r="B39" s="5"/>
      <c r="C39" s="5"/>
      <c r="E39" s="6"/>
      <c r="F39" s="1"/>
      <c r="G39" s="7"/>
    </row>
    <row r="40" spans="1:7" x14ac:dyDescent="0.25">
      <c r="A40" s="5" t="s">
        <v>88</v>
      </c>
      <c r="B40" s="5" t="s">
        <v>161</v>
      </c>
      <c r="C40" s="5" t="s">
        <v>121</v>
      </c>
      <c r="D40" s="2" t="s">
        <v>369</v>
      </c>
      <c r="E40" s="6">
        <v>6864</v>
      </c>
      <c r="F40" s="1">
        <v>4.46</v>
      </c>
      <c r="G40" s="7">
        <v>46010</v>
      </c>
    </row>
    <row r="41" spans="1:7" x14ac:dyDescent="0.25">
      <c r="A41" s="5" t="s">
        <v>40</v>
      </c>
      <c r="B41" s="5" t="s">
        <v>162</v>
      </c>
      <c r="C41" s="5" t="s">
        <v>118</v>
      </c>
      <c r="D41" s="2" t="s">
        <v>363</v>
      </c>
      <c r="E41" s="6">
        <v>2547</v>
      </c>
      <c r="F41" s="1">
        <v>7.11</v>
      </c>
      <c r="G41" s="7">
        <v>45782</v>
      </c>
    </row>
    <row r="42" spans="1:7" x14ac:dyDescent="0.25">
      <c r="A42" s="5" t="s">
        <v>113</v>
      </c>
      <c r="B42" s="5" t="s">
        <v>163</v>
      </c>
      <c r="C42" s="5" t="s">
        <v>121</v>
      </c>
      <c r="D42" s="2" t="s">
        <v>369</v>
      </c>
      <c r="E42" s="6">
        <v>6975</v>
      </c>
      <c r="F42" s="1">
        <v>9.1999999999999993</v>
      </c>
      <c r="G42" s="7">
        <v>46288</v>
      </c>
    </row>
    <row r="43" spans="1:7" x14ac:dyDescent="0.25">
      <c r="A43" s="5" t="s">
        <v>109</v>
      </c>
      <c r="B43" s="5" t="s">
        <v>164</v>
      </c>
      <c r="C43" s="5" t="s">
        <v>118</v>
      </c>
      <c r="D43" s="2" t="s">
        <v>365</v>
      </c>
      <c r="E43" s="6">
        <v>4235</v>
      </c>
      <c r="F43" s="1">
        <v>8.59</v>
      </c>
      <c r="G43" s="7">
        <v>45565</v>
      </c>
    </row>
    <row r="44" spans="1:7" x14ac:dyDescent="0.25">
      <c r="A44" s="5" t="s">
        <v>106</v>
      </c>
      <c r="B44" s="5" t="s">
        <v>165</v>
      </c>
      <c r="C44" s="5" t="s">
        <v>119</v>
      </c>
      <c r="D44" s="2" t="s">
        <v>371</v>
      </c>
      <c r="E44" s="6">
        <v>6979</v>
      </c>
      <c r="F44" s="1">
        <v>2.64</v>
      </c>
      <c r="G44" s="7">
        <v>46160</v>
      </c>
    </row>
    <row r="45" spans="1:7" x14ac:dyDescent="0.25">
      <c r="A45" s="5"/>
      <c r="B45" s="5"/>
      <c r="C45" s="5"/>
      <c r="E45" s="6"/>
      <c r="F45" s="1"/>
      <c r="G45" s="7"/>
    </row>
    <row r="46" spans="1:7" x14ac:dyDescent="0.25">
      <c r="A46" s="5"/>
      <c r="B46" s="5"/>
      <c r="C46" s="5"/>
      <c r="E46" s="6"/>
      <c r="F46" s="1"/>
      <c r="G46" s="7"/>
    </row>
    <row r="47" spans="1:7" x14ac:dyDescent="0.25">
      <c r="A47" s="5" t="s">
        <v>93</v>
      </c>
      <c r="B47" s="5" t="s">
        <v>166</v>
      </c>
      <c r="C47" s="5" t="s">
        <v>121</v>
      </c>
      <c r="D47" s="2" t="s">
        <v>369</v>
      </c>
      <c r="E47" s="6">
        <v>9532</v>
      </c>
      <c r="F47" s="1">
        <v>9.02</v>
      </c>
      <c r="G47" s="7">
        <v>45906</v>
      </c>
    </row>
    <row r="48" spans="1:7" x14ac:dyDescent="0.25">
      <c r="A48" s="5" t="s">
        <v>105</v>
      </c>
      <c r="B48" s="5" t="s">
        <v>167</v>
      </c>
      <c r="C48" s="5" t="s">
        <v>118</v>
      </c>
      <c r="D48" s="2" t="s">
        <v>366</v>
      </c>
      <c r="E48" s="6">
        <v>8515</v>
      </c>
      <c r="F48" s="1">
        <v>5.79</v>
      </c>
      <c r="G48" s="7">
        <v>46673</v>
      </c>
    </row>
    <row r="49" spans="1:7" x14ac:dyDescent="0.25">
      <c r="A49" s="5" t="s">
        <v>104</v>
      </c>
      <c r="B49" s="5" t="s">
        <v>168</v>
      </c>
      <c r="C49" s="5" t="s">
        <v>118</v>
      </c>
      <c r="D49" s="2" t="s">
        <v>363</v>
      </c>
      <c r="E49" s="6">
        <v>9037</v>
      </c>
      <c r="F49" s="1">
        <v>5</v>
      </c>
      <c r="G49" s="7">
        <v>45527</v>
      </c>
    </row>
    <row r="50" spans="1:7" x14ac:dyDescent="0.25">
      <c r="A50" s="5" t="s">
        <v>101</v>
      </c>
      <c r="B50" s="5" t="s">
        <v>169</v>
      </c>
      <c r="C50" s="5" t="s">
        <v>118</v>
      </c>
      <c r="D50" s="2" t="s">
        <v>365</v>
      </c>
      <c r="E50" s="6">
        <v>9054</v>
      </c>
      <c r="F50" s="1">
        <v>7.7</v>
      </c>
      <c r="G50" s="7">
        <v>46315</v>
      </c>
    </row>
    <row r="51" spans="1:7" x14ac:dyDescent="0.25">
      <c r="A51" s="5" t="s">
        <v>6</v>
      </c>
      <c r="B51" s="5" t="s">
        <v>170</v>
      </c>
      <c r="C51" s="5" t="s">
        <v>121</v>
      </c>
      <c r="D51" s="2" t="s">
        <v>370</v>
      </c>
      <c r="E51" s="6">
        <v>1695</v>
      </c>
      <c r="F51" s="1">
        <v>6.08</v>
      </c>
      <c r="G51" s="7">
        <v>46724</v>
      </c>
    </row>
    <row r="52" spans="1:7" x14ac:dyDescent="0.25">
      <c r="A52" s="5" t="s">
        <v>81</v>
      </c>
      <c r="B52" s="5" t="s">
        <v>171</v>
      </c>
      <c r="C52" s="5" t="s">
        <v>118</v>
      </c>
      <c r="D52" s="2" t="s">
        <v>363</v>
      </c>
      <c r="E52" s="6">
        <v>9344</v>
      </c>
      <c r="F52" s="1">
        <v>3.94</v>
      </c>
      <c r="G52" s="7">
        <v>46456</v>
      </c>
    </row>
    <row r="53" spans="1:7" x14ac:dyDescent="0.25">
      <c r="A53" s="5"/>
      <c r="B53" s="5"/>
      <c r="C53" s="5"/>
      <c r="E53" s="6"/>
      <c r="F53" s="1"/>
      <c r="G53" s="7"/>
    </row>
    <row r="54" spans="1:7" x14ac:dyDescent="0.25">
      <c r="A54" s="5" t="s">
        <v>52</v>
      </c>
      <c r="B54" s="5" t="s">
        <v>172</v>
      </c>
      <c r="C54" s="5" t="s">
        <v>118</v>
      </c>
      <c r="D54" s="2" t="s">
        <v>366</v>
      </c>
      <c r="E54" s="6">
        <v>2278</v>
      </c>
      <c r="F54" s="1">
        <v>7.52</v>
      </c>
      <c r="G54" s="7">
        <v>46410</v>
      </c>
    </row>
    <row r="55" spans="1:7" x14ac:dyDescent="0.25">
      <c r="A55" s="5" t="s">
        <v>24</v>
      </c>
      <c r="B55" s="5" t="s">
        <v>173</v>
      </c>
      <c r="C55" s="5" t="s">
        <v>120</v>
      </c>
      <c r="D55" s="2" t="s">
        <v>368</v>
      </c>
      <c r="E55" s="6">
        <v>5259</v>
      </c>
      <c r="F55" s="1">
        <v>7.16</v>
      </c>
      <c r="G55" s="7">
        <v>45729</v>
      </c>
    </row>
    <row r="56" spans="1:7" x14ac:dyDescent="0.25">
      <c r="A56" s="5" t="s">
        <v>16</v>
      </c>
      <c r="B56" s="5" t="s">
        <v>174</v>
      </c>
      <c r="C56" s="5" t="s">
        <v>118</v>
      </c>
      <c r="D56" s="2" t="s">
        <v>365</v>
      </c>
      <c r="E56" s="6">
        <v>3097</v>
      </c>
      <c r="F56" s="1">
        <v>4.29</v>
      </c>
      <c r="G56" s="7">
        <v>45383</v>
      </c>
    </row>
    <row r="57" spans="1:7" x14ac:dyDescent="0.25">
      <c r="A57" s="5" t="s">
        <v>88</v>
      </c>
      <c r="B57" s="5" t="s">
        <v>175</v>
      </c>
      <c r="C57" s="5" t="s">
        <v>119</v>
      </c>
      <c r="D57" s="2" t="s">
        <v>371</v>
      </c>
      <c r="E57" s="6">
        <v>1997</v>
      </c>
      <c r="F57" s="1">
        <v>4.46</v>
      </c>
      <c r="G57" s="7">
        <v>46093</v>
      </c>
    </row>
    <row r="58" spans="1:7" x14ac:dyDescent="0.25">
      <c r="A58" s="5" t="s">
        <v>71</v>
      </c>
      <c r="B58" s="5" t="s">
        <v>176</v>
      </c>
      <c r="C58" s="5" t="s">
        <v>121</v>
      </c>
      <c r="D58" s="2" t="s">
        <v>369</v>
      </c>
      <c r="E58" s="6">
        <v>7329</v>
      </c>
      <c r="F58" s="1">
        <v>8.27</v>
      </c>
      <c r="G58" s="7">
        <v>45742</v>
      </c>
    </row>
    <row r="59" spans="1:7" x14ac:dyDescent="0.25">
      <c r="A59" s="5" t="s">
        <v>7</v>
      </c>
      <c r="B59" s="5" t="s">
        <v>133</v>
      </c>
      <c r="C59" s="5" t="s">
        <v>119</v>
      </c>
      <c r="D59" s="2" t="s">
        <v>372</v>
      </c>
      <c r="E59" s="6">
        <v>3621</v>
      </c>
      <c r="F59" s="1">
        <v>8.98</v>
      </c>
      <c r="G59" s="7">
        <v>45531</v>
      </c>
    </row>
    <row r="60" spans="1:7" x14ac:dyDescent="0.25">
      <c r="A60" s="5" t="s">
        <v>22</v>
      </c>
      <c r="B60" s="5" t="s">
        <v>177</v>
      </c>
      <c r="C60" s="5" t="s">
        <v>119</v>
      </c>
      <c r="D60" s="2" t="s">
        <v>371</v>
      </c>
      <c r="E60" s="6">
        <v>3873</v>
      </c>
      <c r="F60" s="1">
        <v>4.2699999999999996</v>
      </c>
      <c r="G60" s="7">
        <v>45612</v>
      </c>
    </row>
    <row r="61" spans="1:7" x14ac:dyDescent="0.25">
      <c r="A61" s="5" t="s">
        <v>55</v>
      </c>
      <c r="B61" s="5" t="s">
        <v>178</v>
      </c>
      <c r="C61" s="5" t="s">
        <v>118</v>
      </c>
      <c r="D61" s="2" t="s">
        <v>364</v>
      </c>
      <c r="E61" s="6">
        <v>7209</v>
      </c>
      <c r="F61" s="1">
        <v>5.32</v>
      </c>
      <c r="G61" s="7">
        <v>45502</v>
      </c>
    </row>
    <row r="62" spans="1:7" x14ac:dyDescent="0.25">
      <c r="A62" s="5" t="s">
        <v>34</v>
      </c>
      <c r="B62" s="5" t="s">
        <v>179</v>
      </c>
      <c r="C62" s="5" t="s">
        <v>118</v>
      </c>
      <c r="D62" s="2" t="s">
        <v>363</v>
      </c>
      <c r="E62" s="6">
        <v>1029</v>
      </c>
      <c r="F62" s="1">
        <v>3.52</v>
      </c>
      <c r="G62" s="7">
        <v>45831</v>
      </c>
    </row>
    <row r="63" spans="1:7" x14ac:dyDescent="0.25">
      <c r="A63" s="5" t="s">
        <v>94</v>
      </c>
      <c r="B63" s="5" t="s">
        <v>180</v>
      </c>
      <c r="C63" s="5" t="s">
        <v>120</v>
      </c>
      <c r="D63" s="2" t="s">
        <v>367</v>
      </c>
      <c r="E63" s="6">
        <v>6464</v>
      </c>
      <c r="F63" s="1">
        <v>6.81</v>
      </c>
      <c r="G63" s="7">
        <v>46581</v>
      </c>
    </row>
    <row r="64" spans="1:7" x14ac:dyDescent="0.25">
      <c r="A64" s="5" t="s">
        <v>31</v>
      </c>
      <c r="B64" s="5" t="s">
        <v>124</v>
      </c>
      <c r="C64" s="5" t="s">
        <v>120</v>
      </c>
      <c r="D64" s="2" t="s">
        <v>368</v>
      </c>
      <c r="E64" s="6">
        <v>2241</v>
      </c>
      <c r="F64" s="1">
        <v>6.16</v>
      </c>
      <c r="G64" s="7">
        <v>46531</v>
      </c>
    </row>
    <row r="65" spans="1:7" x14ac:dyDescent="0.25">
      <c r="A65" s="5" t="s">
        <v>47</v>
      </c>
      <c r="B65" s="5" t="s">
        <v>181</v>
      </c>
      <c r="C65" s="5" t="s">
        <v>118</v>
      </c>
      <c r="D65" s="2" t="s">
        <v>364</v>
      </c>
      <c r="E65" s="6">
        <v>2987</v>
      </c>
      <c r="F65" s="1">
        <v>4.1500000000000004</v>
      </c>
      <c r="G65" s="7">
        <v>45699</v>
      </c>
    </row>
    <row r="66" spans="1:7" x14ac:dyDescent="0.25">
      <c r="A66" s="5" t="s">
        <v>100</v>
      </c>
      <c r="B66" s="5" t="s">
        <v>182</v>
      </c>
      <c r="C66" s="5" t="s">
        <v>120</v>
      </c>
      <c r="D66" s="2" t="s">
        <v>367</v>
      </c>
      <c r="E66" s="6">
        <v>8479</v>
      </c>
      <c r="F66" s="1">
        <v>4.95</v>
      </c>
      <c r="G66" s="7">
        <v>46593</v>
      </c>
    </row>
    <row r="67" spans="1:7" x14ac:dyDescent="0.25">
      <c r="A67" s="5"/>
      <c r="B67" s="5"/>
      <c r="C67" s="5"/>
      <c r="E67" s="6"/>
      <c r="F67" s="1"/>
      <c r="G67" s="7"/>
    </row>
    <row r="68" spans="1:7" x14ac:dyDescent="0.25">
      <c r="A68" s="5" t="s">
        <v>103</v>
      </c>
      <c r="B68" s="5" t="s">
        <v>183</v>
      </c>
      <c r="C68" s="5" t="s">
        <v>120</v>
      </c>
      <c r="D68" s="2" t="s">
        <v>368</v>
      </c>
      <c r="E68" s="6">
        <v>4718</v>
      </c>
      <c r="F68" s="1">
        <v>7.14</v>
      </c>
      <c r="G68" s="7">
        <v>46431</v>
      </c>
    </row>
    <row r="69" spans="1:7" x14ac:dyDescent="0.25">
      <c r="A69" s="5" t="s">
        <v>14</v>
      </c>
      <c r="B69" s="5" t="s">
        <v>184</v>
      </c>
      <c r="C69" s="5" t="s">
        <v>119</v>
      </c>
      <c r="D69" s="2" t="s">
        <v>371</v>
      </c>
      <c r="E69" s="6">
        <v>2158</v>
      </c>
      <c r="F69" s="1">
        <v>9.2200000000000006</v>
      </c>
      <c r="G69" s="7">
        <v>46187</v>
      </c>
    </row>
    <row r="70" spans="1:7" x14ac:dyDescent="0.25">
      <c r="A70" s="5" t="s">
        <v>4</v>
      </c>
      <c r="B70" s="5" t="s">
        <v>185</v>
      </c>
      <c r="C70" s="5" t="s">
        <v>119</v>
      </c>
      <c r="D70" s="2" t="s">
        <v>372</v>
      </c>
      <c r="E70" s="6">
        <v>4894</v>
      </c>
      <c r="F70" s="1">
        <v>4.33</v>
      </c>
      <c r="G70" s="7">
        <v>45794</v>
      </c>
    </row>
    <row r="71" spans="1:7" x14ac:dyDescent="0.25">
      <c r="A71" s="5" t="s">
        <v>20</v>
      </c>
      <c r="B71" s="5" t="s">
        <v>186</v>
      </c>
      <c r="C71" s="5" t="s">
        <v>119</v>
      </c>
      <c r="D71" s="2" t="s">
        <v>372</v>
      </c>
      <c r="E71" s="6">
        <v>9316</v>
      </c>
      <c r="F71" s="1">
        <v>2.67</v>
      </c>
      <c r="G71" s="7">
        <v>45440</v>
      </c>
    </row>
    <row r="72" spans="1:7" x14ac:dyDescent="0.25">
      <c r="A72" s="5" t="s">
        <v>47</v>
      </c>
      <c r="B72" s="5" t="s">
        <v>187</v>
      </c>
      <c r="C72" s="5" t="s">
        <v>118</v>
      </c>
      <c r="D72" s="2" t="s">
        <v>366</v>
      </c>
      <c r="E72" s="6">
        <v>3371</v>
      </c>
      <c r="F72" s="1">
        <v>4.1500000000000004</v>
      </c>
      <c r="G72" s="7">
        <v>45441</v>
      </c>
    </row>
    <row r="73" spans="1:7" x14ac:dyDescent="0.25">
      <c r="A73" s="5" t="s">
        <v>86</v>
      </c>
      <c r="B73" s="5" t="s">
        <v>188</v>
      </c>
      <c r="C73" s="5" t="s">
        <v>118</v>
      </c>
      <c r="D73" s="2" t="s">
        <v>366</v>
      </c>
      <c r="E73" s="6">
        <v>2940</v>
      </c>
      <c r="F73" s="1">
        <v>2.4900000000000002</v>
      </c>
      <c r="G73" s="7">
        <v>46490</v>
      </c>
    </row>
    <row r="74" spans="1:7" x14ac:dyDescent="0.25">
      <c r="A74" s="5" t="s">
        <v>82</v>
      </c>
      <c r="B74" s="5" t="s">
        <v>189</v>
      </c>
      <c r="C74" s="5" t="s">
        <v>119</v>
      </c>
      <c r="D74" s="2" t="s">
        <v>371</v>
      </c>
      <c r="E74" s="6">
        <v>9283</v>
      </c>
      <c r="F74" s="1">
        <v>7.45</v>
      </c>
      <c r="G74" s="7">
        <v>45535</v>
      </c>
    </row>
    <row r="75" spans="1:7" x14ac:dyDescent="0.25">
      <c r="A75" s="5" t="s">
        <v>110</v>
      </c>
      <c r="B75" s="5" t="s">
        <v>190</v>
      </c>
      <c r="C75" s="5" t="s">
        <v>119</v>
      </c>
      <c r="D75" s="2" t="s">
        <v>371</v>
      </c>
      <c r="E75" s="6">
        <v>8554</v>
      </c>
      <c r="F75" s="1">
        <v>7.52</v>
      </c>
      <c r="G75" s="7">
        <v>46399</v>
      </c>
    </row>
    <row r="76" spans="1:7" x14ac:dyDescent="0.25">
      <c r="A76" s="5" t="s">
        <v>12</v>
      </c>
      <c r="B76" s="5" t="s">
        <v>191</v>
      </c>
      <c r="C76" s="5" t="s">
        <v>121</v>
      </c>
      <c r="D76" s="2" t="s">
        <v>369</v>
      </c>
      <c r="E76" s="6">
        <v>4375</v>
      </c>
      <c r="F76" s="1">
        <v>5.7</v>
      </c>
      <c r="G76" s="7">
        <v>46149</v>
      </c>
    </row>
    <row r="77" spans="1:7" x14ac:dyDescent="0.25">
      <c r="A77" s="5" t="s">
        <v>21</v>
      </c>
      <c r="B77" s="5" t="s">
        <v>192</v>
      </c>
      <c r="C77" s="5" t="s">
        <v>118</v>
      </c>
      <c r="D77" s="2" t="s">
        <v>363</v>
      </c>
      <c r="E77" s="6">
        <v>5547</v>
      </c>
      <c r="F77" s="1">
        <v>3.64</v>
      </c>
      <c r="G77" s="7">
        <v>45329</v>
      </c>
    </row>
    <row r="78" spans="1:7" x14ac:dyDescent="0.25">
      <c r="A78" s="5" t="s">
        <v>80</v>
      </c>
      <c r="B78" s="5" t="s">
        <v>193</v>
      </c>
      <c r="C78" s="5" t="s">
        <v>119</v>
      </c>
      <c r="D78" s="2" t="s">
        <v>371</v>
      </c>
      <c r="E78" s="6">
        <v>8234</v>
      </c>
      <c r="F78" s="1">
        <v>3.09</v>
      </c>
      <c r="G78" s="7">
        <v>45706</v>
      </c>
    </row>
    <row r="79" spans="1:7" x14ac:dyDescent="0.25">
      <c r="A79" s="5" t="s">
        <v>85</v>
      </c>
      <c r="B79" s="5" t="s">
        <v>194</v>
      </c>
      <c r="C79" s="5" t="s">
        <v>121</v>
      </c>
      <c r="D79" s="2" t="s">
        <v>369</v>
      </c>
      <c r="E79" s="6">
        <v>8348</v>
      </c>
      <c r="F79" s="1">
        <v>3.05</v>
      </c>
      <c r="G79" s="7">
        <v>45660</v>
      </c>
    </row>
    <row r="80" spans="1:7" x14ac:dyDescent="0.25">
      <c r="A80" s="5"/>
      <c r="B80" s="5"/>
      <c r="C80" s="5"/>
      <c r="E80" s="6"/>
      <c r="F80" s="1"/>
      <c r="G80" s="7"/>
    </row>
    <row r="81" spans="1:7" x14ac:dyDescent="0.25">
      <c r="A81" s="5" t="s">
        <v>110</v>
      </c>
      <c r="B81" s="5" t="s">
        <v>195</v>
      </c>
      <c r="C81" s="5" t="s">
        <v>118</v>
      </c>
      <c r="D81" s="2" t="s">
        <v>366</v>
      </c>
      <c r="E81" s="6">
        <v>8822</v>
      </c>
      <c r="F81" s="1">
        <v>7.52</v>
      </c>
      <c r="G81" s="7">
        <v>45993</v>
      </c>
    </row>
    <row r="82" spans="1:7" x14ac:dyDescent="0.25">
      <c r="A82" s="5" t="s">
        <v>108</v>
      </c>
      <c r="B82" s="5" t="s">
        <v>196</v>
      </c>
      <c r="C82" s="5" t="s">
        <v>120</v>
      </c>
      <c r="D82" s="2" t="s">
        <v>367</v>
      </c>
      <c r="E82" s="6">
        <v>4707</v>
      </c>
      <c r="F82" s="1">
        <v>7.74</v>
      </c>
      <c r="G82" s="7">
        <v>46733</v>
      </c>
    </row>
    <row r="83" spans="1:7" x14ac:dyDescent="0.25">
      <c r="A83" s="5"/>
      <c r="B83" s="5"/>
      <c r="C83" s="5"/>
      <c r="E83" s="6"/>
      <c r="F83" s="1"/>
      <c r="G83" s="7"/>
    </row>
    <row r="84" spans="1:7" x14ac:dyDescent="0.25">
      <c r="A84" s="5"/>
      <c r="B84" s="5"/>
      <c r="C84" s="5"/>
      <c r="E84" s="6"/>
      <c r="F84" s="1"/>
      <c r="G84" s="7"/>
    </row>
    <row r="85" spans="1:7" x14ac:dyDescent="0.25">
      <c r="A85" s="5" t="s">
        <v>69</v>
      </c>
      <c r="B85" s="5" t="s">
        <v>197</v>
      </c>
      <c r="C85" s="5" t="s">
        <v>118</v>
      </c>
      <c r="D85" s="2" t="s">
        <v>365</v>
      </c>
      <c r="E85" s="6">
        <v>7380</v>
      </c>
      <c r="F85" s="1">
        <v>6.76</v>
      </c>
      <c r="G85" s="7">
        <v>46267</v>
      </c>
    </row>
    <row r="86" spans="1:7" x14ac:dyDescent="0.25">
      <c r="A86" s="5" t="s">
        <v>73</v>
      </c>
      <c r="B86" s="5" t="s">
        <v>198</v>
      </c>
      <c r="C86" s="5" t="s">
        <v>119</v>
      </c>
      <c r="D86" s="2" t="s">
        <v>372</v>
      </c>
      <c r="E86" s="6">
        <v>7608</v>
      </c>
      <c r="F86" s="1">
        <v>9.24</v>
      </c>
      <c r="G86" s="7">
        <v>46310</v>
      </c>
    </row>
    <row r="87" spans="1:7" x14ac:dyDescent="0.25">
      <c r="A87" s="5" t="s">
        <v>42</v>
      </c>
      <c r="B87" s="5" t="s">
        <v>199</v>
      </c>
      <c r="C87" s="5" t="s">
        <v>121</v>
      </c>
      <c r="D87" s="2" t="s">
        <v>369</v>
      </c>
      <c r="E87" s="6">
        <v>5242</v>
      </c>
      <c r="F87" s="1">
        <v>2.14</v>
      </c>
      <c r="G87" s="7">
        <v>45561</v>
      </c>
    </row>
    <row r="88" spans="1:7" x14ac:dyDescent="0.25">
      <c r="A88" s="5" t="s">
        <v>47</v>
      </c>
      <c r="B88" s="5" t="s">
        <v>200</v>
      </c>
      <c r="C88" s="5" t="s">
        <v>119</v>
      </c>
      <c r="D88" s="2" t="s">
        <v>371</v>
      </c>
      <c r="E88" s="6">
        <v>2122</v>
      </c>
      <c r="F88" s="1">
        <v>4.1500000000000004</v>
      </c>
      <c r="G88" s="7">
        <v>46404</v>
      </c>
    </row>
    <row r="89" spans="1:7" x14ac:dyDescent="0.25">
      <c r="A89" s="5" t="s">
        <v>82</v>
      </c>
      <c r="B89" s="5" t="s">
        <v>201</v>
      </c>
      <c r="C89" s="5" t="s">
        <v>120</v>
      </c>
      <c r="D89" s="2" t="s">
        <v>368</v>
      </c>
      <c r="E89" s="6">
        <v>3389</v>
      </c>
      <c r="F89" s="1">
        <v>7.45</v>
      </c>
      <c r="G89" s="7">
        <v>46305</v>
      </c>
    </row>
    <row r="90" spans="1:7" x14ac:dyDescent="0.25">
      <c r="A90" s="5" t="s">
        <v>32</v>
      </c>
      <c r="B90" s="5" t="s">
        <v>202</v>
      </c>
      <c r="C90" s="5" t="s">
        <v>118</v>
      </c>
      <c r="D90" s="2" t="s">
        <v>363</v>
      </c>
      <c r="E90" s="6">
        <v>8144</v>
      </c>
      <c r="F90" s="1">
        <v>4.8099999999999996</v>
      </c>
      <c r="G90" s="7">
        <v>45325</v>
      </c>
    </row>
    <row r="91" spans="1:7" x14ac:dyDescent="0.25">
      <c r="A91" s="5" t="s">
        <v>39</v>
      </c>
      <c r="B91" s="5" t="s">
        <v>203</v>
      </c>
      <c r="C91" s="5" t="s">
        <v>118</v>
      </c>
      <c r="D91" s="2" t="s">
        <v>366</v>
      </c>
      <c r="E91" s="6">
        <v>4380</v>
      </c>
      <c r="F91" s="1">
        <v>6.25</v>
      </c>
      <c r="G91" s="7">
        <v>46503</v>
      </c>
    </row>
    <row r="92" spans="1:7" x14ac:dyDescent="0.25">
      <c r="A92" s="5" t="s">
        <v>74</v>
      </c>
      <c r="B92" s="5" t="s">
        <v>204</v>
      </c>
      <c r="C92" s="5" t="s">
        <v>121</v>
      </c>
      <c r="D92" s="2" t="s">
        <v>369</v>
      </c>
      <c r="E92" s="6">
        <v>5201</v>
      </c>
      <c r="F92" s="1">
        <v>6.93</v>
      </c>
      <c r="G92" s="7">
        <v>46495</v>
      </c>
    </row>
    <row r="93" spans="1:7" x14ac:dyDescent="0.25">
      <c r="A93" s="5" t="s">
        <v>7</v>
      </c>
      <c r="B93" s="5" t="s">
        <v>205</v>
      </c>
      <c r="C93" s="5" t="s">
        <v>120</v>
      </c>
      <c r="D93" s="2" t="s">
        <v>368</v>
      </c>
      <c r="E93" s="6">
        <v>7009</v>
      </c>
      <c r="F93" s="1">
        <v>8.98</v>
      </c>
      <c r="G93" s="7">
        <v>46455</v>
      </c>
    </row>
    <row r="94" spans="1:7" x14ac:dyDescent="0.25">
      <c r="A94" s="5" t="s">
        <v>115</v>
      </c>
      <c r="B94" s="5" t="s">
        <v>206</v>
      </c>
      <c r="C94" s="5" t="s">
        <v>121</v>
      </c>
      <c r="D94" s="2" t="s">
        <v>370</v>
      </c>
      <c r="E94" s="6">
        <v>8787</v>
      </c>
      <c r="F94" s="1">
        <v>3.6</v>
      </c>
      <c r="G94" s="7">
        <v>46002</v>
      </c>
    </row>
    <row r="95" spans="1:7" x14ac:dyDescent="0.25">
      <c r="A95" s="5" t="s">
        <v>110</v>
      </c>
      <c r="B95" s="5" t="s">
        <v>207</v>
      </c>
      <c r="C95" s="5" t="s">
        <v>119</v>
      </c>
      <c r="D95" s="2" t="s">
        <v>372</v>
      </c>
      <c r="E95" s="6">
        <v>1126</v>
      </c>
      <c r="F95" s="1">
        <v>7.52</v>
      </c>
      <c r="G95" s="7">
        <v>46375</v>
      </c>
    </row>
    <row r="96" spans="1:7" x14ac:dyDescent="0.25">
      <c r="A96" s="5" t="s">
        <v>60</v>
      </c>
      <c r="B96" s="5" t="s">
        <v>208</v>
      </c>
      <c r="C96" s="5" t="s">
        <v>120</v>
      </c>
      <c r="D96" s="2" t="s">
        <v>367</v>
      </c>
      <c r="E96" s="6">
        <v>4702</v>
      </c>
      <c r="F96" s="1">
        <v>8.2100000000000009</v>
      </c>
      <c r="G96" s="7">
        <v>45391</v>
      </c>
    </row>
    <row r="97" spans="1:7" x14ac:dyDescent="0.25">
      <c r="A97" s="5"/>
      <c r="B97" s="5"/>
      <c r="C97" s="5"/>
      <c r="E97" s="6"/>
      <c r="F97" s="1"/>
      <c r="G97" s="7"/>
    </row>
    <row r="98" spans="1:7" x14ac:dyDescent="0.25">
      <c r="A98" s="5"/>
      <c r="B98" s="5"/>
      <c r="C98" s="5"/>
      <c r="E98" s="6"/>
      <c r="F98" s="1"/>
      <c r="G98" s="7"/>
    </row>
    <row r="99" spans="1:7" x14ac:dyDescent="0.25">
      <c r="A99" s="5" t="s">
        <v>66</v>
      </c>
      <c r="B99" s="5" t="s">
        <v>209</v>
      </c>
      <c r="C99" s="5" t="s">
        <v>120</v>
      </c>
      <c r="D99" s="2" t="s">
        <v>368</v>
      </c>
      <c r="E99" s="6">
        <v>3255</v>
      </c>
      <c r="F99" s="1">
        <v>8.85</v>
      </c>
      <c r="G99" s="7">
        <v>46169</v>
      </c>
    </row>
    <row r="100" spans="1:7" x14ac:dyDescent="0.25">
      <c r="A100" s="5" t="s">
        <v>13</v>
      </c>
      <c r="B100" s="5" t="s">
        <v>210</v>
      </c>
      <c r="C100" s="5" t="s">
        <v>118</v>
      </c>
      <c r="D100" s="2" t="s">
        <v>363</v>
      </c>
      <c r="E100" s="6">
        <v>4559</v>
      </c>
      <c r="F100" s="1">
        <v>6.98</v>
      </c>
      <c r="G100" s="7">
        <v>45344</v>
      </c>
    </row>
    <row r="101" spans="1:7" x14ac:dyDescent="0.25">
      <c r="A101" s="5" t="s">
        <v>65</v>
      </c>
      <c r="B101" s="5" t="s">
        <v>211</v>
      </c>
      <c r="C101" s="5" t="s">
        <v>120</v>
      </c>
      <c r="D101" s="2" t="s">
        <v>367</v>
      </c>
      <c r="E101" s="6">
        <v>1395</v>
      </c>
      <c r="F101" s="1">
        <v>1.52</v>
      </c>
      <c r="G101" s="7">
        <v>45445</v>
      </c>
    </row>
    <row r="102" spans="1:7" x14ac:dyDescent="0.25">
      <c r="A102" s="5" t="s">
        <v>34</v>
      </c>
      <c r="B102" s="5" t="s">
        <v>212</v>
      </c>
      <c r="C102" s="5" t="s">
        <v>121</v>
      </c>
      <c r="D102" s="2" t="s">
        <v>369</v>
      </c>
      <c r="E102" s="6">
        <v>3840</v>
      </c>
      <c r="F102" s="1">
        <v>3.52</v>
      </c>
      <c r="G102" s="7">
        <v>45302</v>
      </c>
    </row>
    <row r="103" spans="1:7" x14ac:dyDescent="0.25">
      <c r="A103" s="5" t="s">
        <v>56</v>
      </c>
      <c r="B103" s="5" t="s">
        <v>213</v>
      </c>
      <c r="C103" s="5" t="s">
        <v>120</v>
      </c>
      <c r="D103" s="2" t="s">
        <v>367</v>
      </c>
      <c r="E103" s="6">
        <v>8609</v>
      </c>
      <c r="F103" s="1">
        <v>3.26</v>
      </c>
      <c r="G103" s="7">
        <v>45426</v>
      </c>
    </row>
    <row r="104" spans="1:7" x14ac:dyDescent="0.25">
      <c r="A104" s="5" t="s">
        <v>59</v>
      </c>
      <c r="B104" s="5" t="s">
        <v>214</v>
      </c>
      <c r="C104" s="5" t="s">
        <v>120</v>
      </c>
      <c r="D104" s="2" t="s">
        <v>368</v>
      </c>
      <c r="E104" s="6">
        <v>9606</v>
      </c>
      <c r="F104" s="1">
        <v>5.55</v>
      </c>
      <c r="G104" s="7">
        <v>46076</v>
      </c>
    </row>
    <row r="105" spans="1:7" x14ac:dyDescent="0.25">
      <c r="A105" s="5" t="s">
        <v>103</v>
      </c>
      <c r="B105" s="5" t="s">
        <v>215</v>
      </c>
      <c r="C105" s="5" t="s">
        <v>119</v>
      </c>
      <c r="D105" s="2" t="s">
        <v>371</v>
      </c>
      <c r="E105" s="6">
        <v>7767</v>
      </c>
      <c r="F105" s="1">
        <v>7.14</v>
      </c>
      <c r="G105" s="7">
        <v>46282</v>
      </c>
    </row>
    <row r="106" spans="1:7" x14ac:dyDescent="0.25">
      <c r="A106" s="5" t="s">
        <v>92</v>
      </c>
      <c r="B106" s="5" t="s">
        <v>216</v>
      </c>
      <c r="C106" s="5" t="s">
        <v>120</v>
      </c>
      <c r="D106" s="2" t="s">
        <v>368</v>
      </c>
      <c r="E106" s="6">
        <v>6688</v>
      </c>
      <c r="F106" s="1">
        <v>1.69</v>
      </c>
      <c r="G106" s="7">
        <v>46364</v>
      </c>
    </row>
    <row r="107" spans="1:7" x14ac:dyDescent="0.25">
      <c r="A107" s="5" t="s">
        <v>114</v>
      </c>
      <c r="B107" s="5" t="s">
        <v>217</v>
      </c>
      <c r="C107" s="5" t="s">
        <v>118</v>
      </c>
      <c r="D107" s="2" t="s">
        <v>364</v>
      </c>
      <c r="E107" s="6">
        <v>8587</v>
      </c>
      <c r="F107" s="1">
        <v>4.66</v>
      </c>
      <c r="G107" s="7">
        <v>46527</v>
      </c>
    </row>
    <row r="108" spans="1:7" x14ac:dyDescent="0.25">
      <c r="A108" s="5" t="s">
        <v>37</v>
      </c>
      <c r="B108" s="5" t="s">
        <v>218</v>
      </c>
      <c r="C108" s="5" t="s">
        <v>121</v>
      </c>
      <c r="D108" s="2" t="s">
        <v>370</v>
      </c>
      <c r="E108" s="6">
        <v>4738</v>
      </c>
      <c r="F108" s="1">
        <v>2.78</v>
      </c>
      <c r="G108" s="7">
        <v>45968</v>
      </c>
    </row>
    <row r="109" spans="1:7" x14ac:dyDescent="0.25">
      <c r="A109" s="5" t="s">
        <v>25</v>
      </c>
      <c r="B109" s="5" t="s">
        <v>219</v>
      </c>
      <c r="C109" s="5" t="s">
        <v>121</v>
      </c>
      <c r="D109" s="2" t="s">
        <v>369</v>
      </c>
      <c r="E109" s="6">
        <v>7654</v>
      </c>
      <c r="F109" s="1">
        <v>1.91</v>
      </c>
      <c r="G109" s="7">
        <v>45354</v>
      </c>
    </row>
    <row r="110" spans="1:7" x14ac:dyDescent="0.25">
      <c r="A110" s="5" t="s">
        <v>25</v>
      </c>
      <c r="B110" s="5" t="s">
        <v>220</v>
      </c>
      <c r="C110" s="5" t="s">
        <v>121</v>
      </c>
      <c r="D110" s="2" t="s">
        <v>369</v>
      </c>
      <c r="E110" s="6">
        <v>7649</v>
      </c>
      <c r="F110" s="1">
        <v>1.91</v>
      </c>
      <c r="G110" s="7">
        <v>45605</v>
      </c>
    </row>
    <row r="111" spans="1:7" x14ac:dyDescent="0.25">
      <c r="A111" s="5" t="s">
        <v>36</v>
      </c>
      <c r="B111" s="5" t="s">
        <v>221</v>
      </c>
      <c r="C111" s="5" t="s">
        <v>120</v>
      </c>
      <c r="D111" s="2" t="s">
        <v>368</v>
      </c>
      <c r="E111" s="6">
        <v>3956</v>
      </c>
      <c r="F111" s="1">
        <v>2.76</v>
      </c>
      <c r="G111" s="7">
        <v>46354</v>
      </c>
    </row>
    <row r="112" spans="1:7" x14ac:dyDescent="0.25">
      <c r="A112" s="5" t="s">
        <v>26</v>
      </c>
      <c r="B112" s="5" t="s">
        <v>222</v>
      </c>
      <c r="C112" s="5" t="s">
        <v>120</v>
      </c>
      <c r="D112" s="2" t="s">
        <v>367</v>
      </c>
      <c r="E112" s="6">
        <v>7659</v>
      </c>
      <c r="F112" s="1">
        <v>8.42</v>
      </c>
      <c r="G112" s="7">
        <v>46081</v>
      </c>
    </row>
    <row r="113" spans="1:7" x14ac:dyDescent="0.25">
      <c r="A113" s="5" t="s">
        <v>88</v>
      </c>
      <c r="B113" s="5" t="s">
        <v>223</v>
      </c>
      <c r="C113" s="5" t="s">
        <v>120</v>
      </c>
      <c r="D113" s="2" t="s">
        <v>368</v>
      </c>
      <c r="E113" s="6">
        <v>5564</v>
      </c>
      <c r="F113" s="1">
        <v>4.46</v>
      </c>
      <c r="G113" s="7">
        <v>46177</v>
      </c>
    </row>
    <row r="114" spans="1:7" x14ac:dyDescent="0.25">
      <c r="A114" s="5" t="s">
        <v>111</v>
      </c>
      <c r="B114" s="5" t="s">
        <v>224</v>
      </c>
      <c r="C114" s="5" t="s">
        <v>118</v>
      </c>
      <c r="D114" s="2" t="s">
        <v>366</v>
      </c>
      <c r="E114" s="6">
        <v>2164</v>
      </c>
      <c r="F114" s="1">
        <v>6.98</v>
      </c>
      <c r="G114" s="7">
        <v>45507</v>
      </c>
    </row>
    <row r="115" spans="1:7" x14ac:dyDescent="0.25">
      <c r="A115" s="5" t="s">
        <v>77</v>
      </c>
      <c r="B115" s="5" t="s">
        <v>225</v>
      </c>
      <c r="C115" s="5" t="s">
        <v>120</v>
      </c>
      <c r="D115" s="2" t="s">
        <v>367</v>
      </c>
      <c r="E115" s="6">
        <v>5039</v>
      </c>
      <c r="F115" s="1">
        <v>8.9499999999999993</v>
      </c>
      <c r="G115" s="7">
        <v>45623</v>
      </c>
    </row>
    <row r="116" spans="1:7" x14ac:dyDescent="0.25">
      <c r="A116" s="5" t="s">
        <v>5</v>
      </c>
      <c r="B116" s="5" t="s">
        <v>226</v>
      </c>
      <c r="C116" s="5" t="s">
        <v>118</v>
      </c>
      <c r="D116" s="2" t="s">
        <v>363</v>
      </c>
      <c r="E116" s="6">
        <v>6561</v>
      </c>
      <c r="F116" s="1">
        <v>7.13</v>
      </c>
      <c r="G116" s="7">
        <v>46497</v>
      </c>
    </row>
    <row r="117" spans="1:7" x14ac:dyDescent="0.25">
      <c r="A117" s="5" t="s">
        <v>73</v>
      </c>
      <c r="B117" s="5" t="s">
        <v>227</v>
      </c>
      <c r="C117" s="5" t="s">
        <v>121</v>
      </c>
      <c r="D117" s="2" t="s">
        <v>369</v>
      </c>
      <c r="E117" s="6">
        <v>8551</v>
      </c>
      <c r="F117" s="1">
        <v>9.24</v>
      </c>
      <c r="G117" s="7">
        <v>46313</v>
      </c>
    </row>
    <row r="118" spans="1:7" x14ac:dyDescent="0.25">
      <c r="A118" s="5" t="s">
        <v>52</v>
      </c>
      <c r="B118" s="5" t="s">
        <v>228</v>
      </c>
      <c r="C118" s="5" t="s">
        <v>120</v>
      </c>
      <c r="D118" s="2" t="s">
        <v>367</v>
      </c>
      <c r="E118" s="6">
        <v>7401</v>
      </c>
      <c r="F118" s="1">
        <v>7.52</v>
      </c>
      <c r="G118" s="7">
        <v>45741</v>
      </c>
    </row>
    <row r="119" spans="1:7" x14ac:dyDescent="0.25">
      <c r="A119" s="5" t="s">
        <v>30</v>
      </c>
      <c r="B119" s="5" t="s">
        <v>229</v>
      </c>
      <c r="C119" s="5" t="s">
        <v>120</v>
      </c>
      <c r="D119" s="2" t="s">
        <v>368</v>
      </c>
      <c r="E119" s="6">
        <v>6612</v>
      </c>
      <c r="F119" s="1">
        <v>7.19</v>
      </c>
      <c r="G119" s="7">
        <v>46620</v>
      </c>
    </row>
    <row r="120" spans="1:7" x14ac:dyDescent="0.25">
      <c r="A120" s="5" t="s">
        <v>8</v>
      </c>
      <c r="B120" s="5" t="s">
        <v>230</v>
      </c>
      <c r="C120" s="5" t="s">
        <v>119</v>
      </c>
      <c r="D120" s="2" t="s">
        <v>371</v>
      </c>
      <c r="E120" s="6">
        <v>3384</v>
      </c>
      <c r="F120" s="1">
        <v>7.77</v>
      </c>
      <c r="G120" s="7">
        <v>46084</v>
      </c>
    </row>
    <row r="121" spans="1:7" x14ac:dyDescent="0.25">
      <c r="A121" s="5" t="s">
        <v>91</v>
      </c>
      <c r="B121" s="5" t="s">
        <v>231</v>
      </c>
      <c r="C121" s="5" t="s">
        <v>118</v>
      </c>
      <c r="D121" s="2" t="s">
        <v>364</v>
      </c>
      <c r="E121" s="6">
        <v>1686</v>
      </c>
      <c r="F121" s="1">
        <v>1.65</v>
      </c>
      <c r="G121" s="7">
        <v>45474</v>
      </c>
    </row>
    <row r="122" spans="1:7" x14ac:dyDescent="0.25">
      <c r="A122" s="5"/>
      <c r="B122" s="5"/>
      <c r="C122" s="5"/>
      <c r="E122" s="6"/>
      <c r="F122" s="1"/>
      <c r="G122" s="7"/>
    </row>
    <row r="123" spans="1:7" x14ac:dyDescent="0.25">
      <c r="A123" s="5"/>
      <c r="B123" s="5"/>
      <c r="C123" s="5"/>
      <c r="E123" s="6"/>
      <c r="F123" s="1"/>
      <c r="G123" s="7"/>
    </row>
    <row r="124" spans="1:7" x14ac:dyDescent="0.25">
      <c r="A124" s="5" t="s">
        <v>23</v>
      </c>
      <c r="B124" s="5" t="s">
        <v>232</v>
      </c>
      <c r="C124" s="5" t="s">
        <v>118</v>
      </c>
      <c r="D124" s="2" t="s">
        <v>366</v>
      </c>
      <c r="E124" s="6">
        <v>6967</v>
      </c>
      <c r="F124" s="1">
        <v>3.74</v>
      </c>
      <c r="G124" s="7">
        <v>45321</v>
      </c>
    </row>
    <row r="125" spans="1:7" x14ac:dyDescent="0.25">
      <c r="A125" s="5" t="s">
        <v>50</v>
      </c>
      <c r="B125" s="5" t="s">
        <v>233</v>
      </c>
      <c r="C125" s="5" t="s">
        <v>119</v>
      </c>
      <c r="D125" s="2" t="s">
        <v>371</v>
      </c>
      <c r="E125" s="6">
        <v>5597</v>
      </c>
      <c r="F125" s="1">
        <v>5</v>
      </c>
      <c r="G125" s="7">
        <v>46422</v>
      </c>
    </row>
    <row r="126" spans="1:7" x14ac:dyDescent="0.25">
      <c r="A126" s="5" t="s">
        <v>61</v>
      </c>
      <c r="B126" s="5" t="s">
        <v>234</v>
      </c>
      <c r="C126" s="5" t="s">
        <v>118</v>
      </c>
      <c r="D126" s="2" t="s">
        <v>365</v>
      </c>
      <c r="E126" s="6">
        <v>7122</v>
      </c>
      <c r="F126" s="1">
        <v>3.12</v>
      </c>
      <c r="G126" s="7">
        <v>46067</v>
      </c>
    </row>
    <row r="127" spans="1:7" x14ac:dyDescent="0.25">
      <c r="A127" s="5" t="s">
        <v>9</v>
      </c>
      <c r="B127" s="5" t="s">
        <v>235</v>
      </c>
      <c r="C127" s="5" t="s">
        <v>120</v>
      </c>
      <c r="D127" s="2" t="s">
        <v>368</v>
      </c>
      <c r="E127" s="6">
        <v>7842</v>
      </c>
      <c r="F127" s="1">
        <v>1.92</v>
      </c>
      <c r="G127" s="7">
        <v>46731</v>
      </c>
    </row>
    <row r="128" spans="1:7" x14ac:dyDescent="0.25">
      <c r="A128" s="5" t="s">
        <v>36</v>
      </c>
      <c r="B128" s="5" t="s">
        <v>236</v>
      </c>
      <c r="C128" s="5" t="s">
        <v>121</v>
      </c>
      <c r="D128" s="2" t="s">
        <v>369</v>
      </c>
      <c r="E128" s="6">
        <v>6716</v>
      </c>
      <c r="F128" s="1">
        <v>2.76</v>
      </c>
      <c r="G128" s="7">
        <v>45590</v>
      </c>
    </row>
    <row r="129" spans="1:7" x14ac:dyDescent="0.25">
      <c r="A129" s="5" t="s">
        <v>21</v>
      </c>
      <c r="B129" s="5" t="s">
        <v>237</v>
      </c>
      <c r="C129" s="5" t="s">
        <v>118</v>
      </c>
      <c r="D129" s="2" t="s">
        <v>363</v>
      </c>
      <c r="E129" s="6">
        <v>2012</v>
      </c>
      <c r="F129" s="1">
        <v>3.64</v>
      </c>
      <c r="G129" s="7">
        <v>46124</v>
      </c>
    </row>
    <row r="130" spans="1:7" x14ac:dyDescent="0.25">
      <c r="A130" s="5"/>
      <c r="B130" s="5"/>
      <c r="C130" s="5"/>
      <c r="E130" s="6"/>
      <c r="F130" s="1"/>
      <c r="G130" s="7"/>
    </row>
    <row r="131" spans="1:7" x14ac:dyDescent="0.25">
      <c r="A131" s="5" t="s">
        <v>78</v>
      </c>
      <c r="B131" s="5" t="s">
        <v>238</v>
      </c>
      <c r="C131" s="5" t="s">
        <v>121</v>
      </c>
      <c r="D131" s="2" t="s">
        <v>369</v>
      </c>
      <c r="E131" s="6">
        <v>9813</v>
      </c>
      <c r="F131" s="1">
        <v>4.1900000000000004</v>
      </c>
      <c r="G131" s="7">
        <v>45954</v>
      </c>
    </row>
    <row r="132" spans="1:7" x14ac:dyDescent="0.25">
      <c r="A132" s="5" t="s">
        <v>59</v>
      </c>
      <c r="B132" s="5" t="s">
        <v>239</v>
      </c>
      <c r="C132" s="5" t="s">
        <v>119</v>
      </c>
      <c r="D132" s="2" t="s">
        <v>371</v>
      </c>
      <c r="E132" s="6">
        <v>3430</v>
      </c>
      <c r="F132" s="1">
        <v>5.55</v>
      </c>
      <c r="G132" s="7">
        <v>46656</v>
      </c>
    </row>
    <row r="133" spans="1:7" x14ac:dyDescent="0.25">
      <c r="A133" s="5" t="s">
        <v>115</v>
      </c>
      <c r="B133" s="5" t="s">
        <v>240</v>
      </c>
      <c r="C133" s="5" t="s">
        <v>119</v>
      </c>
      <c r="D133" s="2" t="s">
        <v>372</v>
      </c>
      <c r="E133" s="6">
        <v>7227</v>
      </c>
      <c r="F133" s="1">
        <v>3.6</v>
      </c>
      <c r="G133" s="7">
        <v>45786</v>
      </c>
    </row>
    <row r="134" spans="1:7" x14ac:dyDescent="0.25">
      <c r="A134" s="5" t="s">
        <v>74</v>
      </c>
      <c r="B134" s="5" t="s">
        <v>241</v>
      </c>
      <c r="C134" s="5" t="s">
        <v>118</v>
      </c>
      <c r="D134" s="2" t="s">
        <v>363</v>
      </c>
      <c r="E134" s="6">
        <v>8006</v>
      </c>
      <c r="F134" s="1">
        <v>6.93</v>
      </c>
      <c r="G134" s="7">
        <v>46446</v>
      </c>
    </row>
    <row r="135" spans="1:7" x14ac:dyDescent="0.25">
      <c r="A135" s="5"/>
      <c r="B135" s="5"/>
      <c r="C135" s="5"/>
      <c r="E135" s="6"/>
      <c r="F135" s="1"/>
      <c r="G135" s="7"/>
    </row>
    <row r="136" spans="1:7" x14ac:dyDescent="0.25">
      <c r="A136" s="5" t="s">
        <v>44</v>
      </c>
      <c r="B136" s="5" t="s">
        <v>242</v>
      </c>
      <c r="C136" s="5" t="s">
        <v>120</v>
      </c>
      <c r="D136" s="2" t="s">
        <v>368</v>
      </c>
      <c r="E136" s="6">
        <v>8125</v>
      </c>
      <c r="F136" s="1">
        <v>2.27</v>
      </c>
      <c r="G136" s="7">
        <v>46263</v>
      </c>
    </row>
    <row r="137" spans="1:7" x14ac:dyDescent="0.25">
      <c r="A137" s="5" t="s">
        <v>58</v>
      </c>
      <c r="B137" s="5" t="s">
        <v>243</v>
      </c>
      <c r="C137" s="5" t="s">
        <v>118</v>
      </c>
      <c r="D137" s="2" t="s">
        <v>365</v>
      </c>
      <c r="E137" s="6">
        <v>7922</v>
      </c>
      <c r="F137" s="1">
        <v>6.68</v>
      </c>
      <c r="G137" s="7">
        <v>46504</v>
      </c>
    </row>
    <row r="138" spans="1:7" x14ac:dyDescent="0.25">
      <c r="A138" s="5" t="s">
        <v>86</v>
      </c>
      <c r="B138" s="5" t="s">
        <v>244</v>
      </c>
      <c r="C138" s="5" t="s">
        <v>121</v>
      </c>
      <c r="D138" s="2" t="s">
        <v>369</v>
      </c>
      <c r="E138" s="6">
        <v>5114</v>
      </c>
      <c r="F138" s="1">
        <v>2.4900000000000002</v>
      </c>
      <c r="G138" s="7">
        <v>45756</v>
      </c>
    </row>
    <row r="139" spans="1:7" x14ac:dyDescent="0.25">
      <c r="A139" s="5" t="s">
        <v>104</v>
      </c>
      <c r="B139" s="5" t="s">
        <v>131</v>
      </c>
      <c r="C139" s="5" t="s">
        <v>120</v>
      </c>
      <c r="D139" s="2" t="s">
        <v>368</v>
      </c>
      <c r="E139" s="6">
        <v>7620</v>
      </c>
      <c r="F139" s="1">
        <v>5</v>
      </c>
      <c r="G139" s="7">
        <v>46252</v>
      </c>
    </row>
    <row r="140" spans="1:7" x14ac:dyDescent="0.25">
      <c r="A140" s="5" t="s">
        <v>107</v>
      </c>
      <c r="B140" s="5" t="s">
        <v>245</v>
      </c>
      <c r="C140" s="5" t="s">
        <v>118</v>
      </c>
      <c r="D140" s="2" t="s">
        <v>365</v>
      </c>
      <c r="E140" s="6">
        <v>3353</v>
      </c>
      <c r="F140" s="1">
        <v>8.51</v>
      </c>
      <c r="G140" s="7">
        <v>46305</v>
      </c>
    </row>
    <row r="141" spans="1:7" x14ac:dyDescent="0.25">
      <c r="A141" s="5" t="s">
        <v>72</v>
      </c>
      <c r="B141" s="5" t="s">
        <v>246</v>
      </c>
      <c r="C141" s="5" t="s">
        <v>121</v>
      </c>
      <c r="D141" s="2" t="s">
        <v>370</v>
      </c>
      <c r="E141" s="6">
        <v>5432</v>
      </c>
      <c r="F141" s="1">
        <v>5.86</v>
      </c>
      <c r="G141" s="7">
        <v>46744</v>
      </c>
    </row>
    <row r="142" spans="1:7" x14ac:dyDescent="0.25">
      <c r="A142" s="5" t="s">
        <v>95</v>
      </c>
      <c r="B142" s="5" t="s">
        <v>247</v>
      </c>
      <c r="C142" s="5" t="s">
        <v>120</v>
      </c>
      <c r="D142" s="2" t="s">
        <v>368</v>
      </c>
      <c r="E142" s="6">
        <v>4351</v>
      </c>
      <c r="F142" s="1">
        <v>7.95</v>
      </c>
      <c r="G142" s="7">
        <v>46397</v>
      </c>
    </row>
    <row r="143" spans="1:7" x14ac:dyDescent="0.25">
      <c r="A143" s="5" t="s">
        <v>102</v>
      </c>
      <c r="B143" s="5" t="s">
        <v>123</v>
      </c>
      <c r="C143" s="5" t="s">
        <v>121</v>
      </c>
      <c r="D143" s="2" t="s">
        <v>370</v>
      </c>
      <c r="E143" s="6">
        <v>6362</v>
      </c>
      <c r="F143" s="1">
        <v>3.85</v>
      </c>
      <c r="G143" s="7">
        <v>45302</v>
      </c>
    </row>
    <row r="144" spans="1:7" x14ac:dyDescent="0.25">
      <c r="A144" s="5" t="s">
        <v>5</v>
      </c>
      <c r="B144" s="5" t="s">
        <v>248</v>
      </c>
      <c r="C144" s="5" t="s">
        <v>121</v>
      </c>
      <c r="D144" s="2" t="s">
        <v>370</v>
      </c>
      <c r="E144" s="6">
        <v>8584</v>
      </c>
      <c r="F144" s="1">
        <v>7.13</v>
      </c>
      <c r="G144" s="7">
        <v>45504</v>
      </c>
    </row>
    <row r="145" spans="1:7" x14ac:dyDescent="0.25">
      <c r="A145" s="5" t="s">
        <v>87</v>
      </c>
      <c r="B145" s="5" t="s">
        <v>249</v>
      </c>
      <c r="C145" s="5" t="s">
        <v>120</v>
      </c>
      <c r="D145" s="2" t="s">
        <v>367</v>
      </c>
      <c r="E145" s="6">
        <v>1851</v>
      </c>
      <c r="F145" s="1">
        <v>7.41</v>
      </c>
      <c r="G145" s="7">
        <v>45893</v>
      </c>
    </row>
    <row r="146" spans="1:7" x14ac:dyDescent="0.25">
      <c r="A146" s="5"/>
      <c r="B146" s="5"/>
      <c r="C146" s="5"/>
      <c r="E146" s="6"/>
      <c r="F146" s="1"/>
      <c r="G146" s="7"/>
    </row>
    <row r="147" spans="1:7" x14ac:dyDescent="0.25">
      <c r="A147" s="5" t="s">
        <v>46</v>
      </c>
      <c r="B147" s="5" t="s">
        <v>250</v>
      </c>
      <c r="C147" s="5" t="s">
        <v>119</v>
      </c>
      <c r="D147" s="2" t="s">
        <v>372</v>
      </c>
      <c r="E147" s="6">
        <v>7482</v>
      </c>
      <c r="F147" s="1">
        <v>6.96</v>
      </c>
      <c r="G147" s="7">
        <v>46062</v>
      </c>
    </row>
    <row r="148" spans="1:7" x14ac:dyDescent="0.25">
      <c r="A148" s="5" t="s">
        <v>81</v>
      </c>
      <c r="B148" s="5" t="s">
        <v>251</v>
      </c>
      <c r="C148" s="5" t="s">
        <v>121</v>
      </c>
      <c r="D148" s="2" t="s">
        <v>369</v>
      </c>
      <c r="E148" s="6">
        <v>1565</v>
      </c>
      <c r="F148" s="1">
        <v>3.94</v>
      </c>
      <c r="G148" s="7">
        <v>46572</v>
      </c>
    </row>
    <row r="149" spans="1:7" x14ac:dyDescent="0.25">
      <c r="A149" s="5" t="s">
        <v>41</v>
      </c>
      <c r="B149" s="5" t="s">
        <v>252</v>
      </c>
      <c r="C149" s="5" t="s">
        <v>119</v>
      </c>
      <c r="D149" s="2" t="s">
        <v>372</v>
      </c>
      <c r="E149" s="6">
        <v>6970</v>
      </c>
      <c r="F149" s="1">
        <v>7.86</v>
      </c>
      <c r="G149" s="7">
        <v>46720</v>
      </c>
    </row>
    <row r="150" spans="1:7" x14ac:dyDescent="0.25">
      <c r="A150" s="5" t="s">
        <v>12</v>
      </c>
      <c r="B150" s="5" t="s">
        <v>253</v>
      </c>
      <c r="C150" s="5" t="s">
        <v>121</v>
      </c>
      <c r="D150" s="2" t="s">
        <v>370</v>
      </c>
      <c r="E150" s="6">
        <v>7247</v>
      </c>
      <c r="F150" s="1">
        <v>5.7</v>
      </c>
      <c r="G150" s="7">
        <v>46607</v>
      </c>
    </row>
    <row r="151" spans="1:7" x14ac:dyDescent="0.25">
      <c r="A151" s="5" t="s">
        <v>12</v>
      </c>
      <c r="B151" s="5" t="s">
        <v>254</v>
      </c>
      <c r="C151" s="5" t="s">
        <v>119</v>
      </c>
      <c r="D151" s="2" t="s">
        <v>371</v>
      </c>
      <c r="E151" s="6">
        <v>6304</v>
      </c>
      <c r="F151" s="1">
        <v>5.7</v>
      </c>
      <c r="G151" s="7">
        <v>45520</v>
      </c>
    </row>
    <row r="152" spans="1:7" x14ac:dyDescent="0.25">
      <c r="A152" s="5" t="s">
        <v>52</v>
      </c>
      <c r="B152" s="5" t="s">
        <v>255</v>
      </c>
      <c r="C152" s="5" t="s">
        <v>120</v>
      </c>
      <c r="D152" s="2" t="s">
        <v>368</v>
      </c>
      <c r="E152" s="6">
        <v>8500</v>
      </c>
      <c r="F152" s="1">
        <v>7.52</v>
      </c>
      <c r="G152" s="7">
        <v>46065</v>
      </c>
    </row>
    <row r="153" spans="1:7" x14ac:dyDescent="0.25">
      <c r="A153" s="5" t="s">
        <v>56</v>
      </c>
      <c r="B153" s="5" t="s">
        <v>256</v>
      </c>
      <c r="C153" s="5" t="s">
        <v>121</v>
      </c>
      <c r="D153" s="2" t="s">
        <v>369</v>
      </c>
      <c r="E153" s="6">
        <v>9491</v>
      </c>
      <c r="F153" s="1">
        <v>3.26</v>
      </c>
      <c r="G153" s="7">
        <v>46589</v>
      </c>
    </row>
    <row r="154" spans="1:7" x14ac:dyDescent="0.25">
      <c r="A154" s="5" t="s">
        <v>44</v>
      </c>
      <c r="B154" s="5" t="s">
        <v>257</v>
      </c>
      <c r="C154" s="5" t="s">
        <v>121</v>
      </c>
      <c r="D154" s="2" t="s">
        <v>370</v>
      </c>
      <c r="E154" s="6">
        <v>3566</v>
      </c>
      <c r="F154" s="1">
        <v>2.27</v>
      </c>
      <c r="G154" s="7">
        <v>46004</v>
      </c>
    </row>
    <row r="155" spans="1:7" x14ac:dyDescent="0.25">
      <c r="A155" s="5" t="s">
        <v>9</v>
      </c>
      <c r="B155" s="5" t="s">
        <v>258</v>
      </c>
      <c r="C155" s="5" t="s">
        <v>120</v>
      </c>
      <c r="D155" s="2" t="s">
        <v>367</v>
      </c>
      <c r="E155" s="6">
        <v>1997</v>
      </c>
      <c r="F155" s="1">
        <v>1.92</v>
      </c>
      <c r="G155" s="7">
        <v>46367</v>
      </c>
    </row>
    <row r="156" spans="1:7" x14ac:dyDescent="0.25">
      <c r="A156" s="5" t="s">
        <v>59</v>
      </c>
      <c r="B156" s="5" t="s">
        <v>259</v>
      </c>
      <c r="C156" s="5" t="s">
        <v>120</v>
      </c>
      <c r="D156" s="2" t="s">
        <v>367</v>
      </c>
      <c r="E156" s="6">
        <v>5105</v>
      </c>
      <c r="F156" s="1">
        <v>5.55</v>
      </c>
      <c r="G156" s="7">
        <v>46012</v>
      </c>
    </row>
    <row r="157" spans="1:7" x14ac:dyDescent="0.25">
      <c r="A157" s="5" t="s">
        <v>38</v>
      </c>
      <c r="B157" s="5" t="s">
        <v>260</v>
      </c>
      <c r="C157" s="5" t="s">
        <v>121</v>
      </c>
      <c r="D157" s="2" t="s">
        <v>370</v>
      </c>
      <c r="E157" s="6">
        <v>8055</v>
      </c>
      <c r="F157" s="1">
        <v>8.9700000000000006</v>
      </c>
      <c r="G157" s="7">
        <v>46445</v>
      </c>
    </row>
    <row r="158" spans="1:7" x14ac:dyDescent="0.25">
      <c r="A158" s="5" t="s">
        <v>37</v>
      </c>
      <c r="B158" s="5" t="s">
        <v>261</v>
      </c>
      <c r="C158" s="5" t="s">
        <v>118</v>
      </c>
      <c r="D158" s="2" t="s">
        <v>366</v>
      </c>
      <c r="E158" s="6">
        <v>8439</v>
      </c>
      <c r="F158" s="1">
        <v>2.78</v>
      </c>
      <c r="G158" s="7">
        <v>46558</v>
      </c>
    </row>
    <row r="159" spans="1:7" x14ac:dyDescent="0.25">
      <c r="A159" s="5" t="s">
        <v>67</v>
      </c>
      <c r="B159" s="5" t="s">
        <v>262</v>
      </c>
      <c r="C159" s="5" t="s">
        <v>118</v>
      </c>
      <c r="D159" s="2" t="s">
        <v>364</v>
      </c>
      <c r="E159" s="6">
        <v>6550</v>
      </c>
      <c r="F159" s="1">
        <v>3.16</v>
      </c>
      <c r="G159" s="7">
        <v>45751</v>
      </c>
    </row>
    <row r="160" spans="1:7" x14ac:dyDescent="0.25">
      <c r="A160" s="5" t="s">
        <v>100</v>
      </c>
      <c r="B160" s="5" t="s">
        <v>263</v>
      </c>
      <c r="C160" s="5" t="s">
        <v>121</v>
      </c>
      <c r="D160" s="2" t="s">
        <v>370</v>
      </c>
      <c r="E160" s="6">
        <v>9160</v>
      </c>
      <c r="F160" s="1">
        <v>4.95</v>
      </c>
      <c r="G160" s="7">
        <v>45957</v>
      </c>
    </row>
    <row r="161" spans="1:7" x14ac:dyDescent="0.25">
      <c r="A161" s="5" t="s">
        <v>70</v>
      </c>
      <c r="B161" s="5" t="s">
        <v>264</v>
      </c>
      <c r="C161" s="5" t="s">
        <v>118</v>
      </c>
      <c r="D161" s="2" t="s">
        <v>364</v>
      </c>
      <c r="E161" s="6">
        <v>8215</v>
      </c>
      <c r="F161" s="1">
        <v>2.63</v>
      </c>
      <c r="G161" s="7">
        <v>46519</v>
      </c>
    </row>
    <row r="162" spans="1:7" x14ac:dyDescent="0.25">
      <c r="A162" s="5" t="s">
        <v>8</v>
      </c>
      <c r="B162" s="5" t="s">
        <v>265</v>
      </c>
      <c r="C162" s="5" t="s">
        <v>121</v>
      </c>
      <c r="D162" s="2" t="s">
        <v>369</v>
      </c>
      <c r="E162" s="6">
        <v>9538</v>
      </c>
      <c r="F162" s="1">
        <v>7.77</v>
      </c>
      <c r="G162" s="7">
        <v>46687</v>
      </c>
    </row>
    <row r="163" spans="1:7" x14ac:dyDescent="0.25">
      <c r="A163" s="5" t="s">
        <v>88</v>
      </c>
      <c r="B163" s="5" t="s">
        <v>266</v>
      </c>
      <c r="C163" s="5" t="s">
        <v>118</v>
      </c>
      <c r="D163" s="2" t="s">
        <v>363</v>
      </c>
      <c r="E163" s="6">
        <v>1653</v>
      </c>
      <c r="F163" s="1">
        <v>4.46</v>
      </c>
      <c r="G163" s="7">
        <v>45439</v>
      </c>
    </row>
    <row r="164" spans="1:7" x14ac:dyDescent="0.25">
      <c r="A164" s="5" t="s">
        <v>114</v>
      </c>
      <c r="B164" s="5" t="s">
        <v>267</v>
      </c>
      <c r="C164" s="5" t="s">
        <v>118</v>
      </c>
      <c r="D164" s="2" t="s">
        <v>366</v>
      </c>
      <c r="E164" s="6">
        <v>9508</v>
      </c>
      <c r="F164" s="1">
        <v>4.66</v>
      </c>
      <c r="G164" s="7">
        <v>45916</v>
      </c>
    </row>
    <row r="165" spans="1:7" x14ac:dyDescent="0.25">
      <c r="A165" s="5"/>
      <c r="B165" s="5"/>
      <c r="C165" s="5"/>
      <c r="E165" s="6"/>
      <c r="F165" s="1"/>
      <c r="G165" s="7"/>
    </row>
    <row r="166" spans="1:7" x14ac:dyDescent="0.25">
      <c r="A166" s="5"/>
      <c r="B166" s="5"/>
      <c r="C166" s="5"/>
      <c r="E166" s="6"/>
      <c r="F166" s="1"/>
      <c r="G166" s="7"/>
    </row>
    <row r="167" spans="1:7" x14ac:dyDescent="0.25">
      <c r="A167" s="5" t="s">
        <v>115</v>
      </c>
      <c r="B167" s="5" t="s">
        <v>268</v>
      </c>
      <c r="C167" s="5" t="s">
        <v>118</v>
      </c>
      <c r="D167" s="2" t="s">
        <v>364</v>
      </c>
      <c r="E167" s="6">
        <v>6398</v>
      </c>
      <c r="F167" s="1">
        <v>3.6</v>
      </c>
      <c r="G167" s="7">
        <v>45524</v>
      </c>
    </row>
    <row r="168" spans="1:7" x14ac:dyDescent="0.25">
      <c r="A168" s="5" t="s">
        <v>76</v>
      </c>
      <c r="B168" s="5" t="s">
        <v>269</v>
      </c>
      <c r="C168" s="5" t="s">
        <v>118</v>
      </c>
      <c r="D168" s="2" t="s">
        <v>366</v>
      </c>
      <c r="E168" s="6">
        <v>8311</v>
      </c>
      <c r="F168" s="1">
        <v>7.46</v>
      </c>
      <c r="G168" s="7">
        <v>46606</v>
      </c>
    </row>
    <row r="169" spans="1:7" x14ac:dyDescent="0.25">
      <c r="A169" s="5" t="s">
        <v>102</v>
      </c>
      <c r="B169" s="5" t="s">
        <v>270</v>
      </c>
      <c r="C169" s="5" t="s">
        <v>118</v>
      </c>
      <c r="D169" s="2" t="s">
        <v>366</v>
      </c>
      <c r="E169" s="6">
        <v>8499</v>
      </c>
      <c r="F169" s="1">
        <v>3.85</v>
      </c>
      <c r="G169" s="7">
        <v>46573</v>
      </c>
    </row>
    <row r="170" spans="1:7" x14ac:dyDescent="0.25">
      <c r="A170" s="5" t="s">
        <v>108</v>
      </c>
      <c r="B170" s="5" t="s">
        <v>271</v>
      </c>
      <c r="C170" s="5" t="s">
        <v>119</v>
      </c>
      <c r="D170" s="2" t="s">
        <v>371</v>
      </c>
      <c r="E170" s="6">
        <v>8047</v>
      </c>
      <c r="F170" s="1">
        <v>7.74</v>
      </c>
      <c r="G170" s="7">
        <v>46608</v>
      </c>
    </row>
    <row r="171" spans="1:7" x14ac:dyDescent="0.25">
      <c r="A171" s="5" t="s">
        <v>88</v>
      </c>
      <c r="B171" s="5" t="s">
        <v>272</v>
      </c>
      <c r="C171" s="5" t="s">
        <v>118</v>
      </c>
      <c r="D171" s="2" t="s">
        <v>366</v>
      </c>
      <c r="E171" s="6">
        <v>7351</v>
      </c>
      <c r="F171" s="1">
        <v>4.46</v>
      </c>
      <c r="G171" s="7">
        <v>46439</v>
      </c>
    </row>
    <row r="172" spans="1:7" x14ac:dyDescent="0.25">
      <c r="A172" s="5" t="s">
        <v>43</v>
      </c>
      <c r="B172" s="5" t="s">
        <v>273</v>
      </c>
      <c r="C172" s="5" t="s">
        <v>120</v>
      </c>
      <c r="D172" s="2" t="s">
        <v>367</v>
      </c>
      <c r="E172" s="6">
        <v>2710</v>
      </c>
      <c r="F172" s="1">
        <v>5.57</v>
      </c>
      <c r="G172" s="7">
        <v>45551</v>
      </c>
    </row>
    <row r="173" spans="1:7" x14ac:dyDescent="0.25">
      <c r="A173" s="5" t="s">
        <v>48</v>
      </c>
      <c r="B173" s="5" t="s">
        <v>274</v>
      </c>
      <c r="C173" s="5" t="s">
        <v>119</v>
      </c>
      <c r="D173" s="2" t="s">
        <v>371</v>
      </c>
      <c r="E173" s="6">
        <v>9738</v>
      </c>
      <c r="F173" s="1">
        <v>5.48</v>
      </c>
      <c r="G173" s="7">
        <v>45725</v>
      </c>
    </row>
    <row r="174" spans="1:7" x14ac:dyDescent="0.25">
      <c r="A174" s="5" t="s">
        <v>90</v>
      </c>
      <c r="B174" s="5" t="s">
        <v>275</v>
      </c>
      <c r="C174" s="5" t="s">
        <v>119</v>
      </c>
      <c r="D174" s="2" t="s">
        <v>371</v>
      </c>
      <c r="E174" s="6">
        <v>8083</v>
      </c>
      <c r="F174" s="1">
        <v>1.89</v>
      </c>
      <c r="G174" s="7">
        <v>45960</v>
      </c>
    </row>
    <row r="175" spans="1:7" x14ac:dyDescent="0.25">
      <c r="A175" s="5" t="s">
        <v>88</v>
      </c>
      <c r="B175" s="5" t="s">
        <v>276</v>
      </c>
      <c r="C175" s="5" t="s">
        <v>120</v>
      </c>
      <c r="D175" s="2" t="s">
        <v>367</v>
      </c>
      <c r="E175" s="6">
        <v>7383</v>
      </c>
      <c r="F175" s="1">
        <v>4.46</v>
      </c>
      <c r="G175" s="7">
        <v>46039</v>
      </c>
    </row>
    <row r="176" spans="1:7" x14ac:dyDescent="0.25">
      <c r="A176" s="5" t="s">
        <v>75</v>
      </c>
      <c r="B176" s="5" t="s">
        <v>277</v>
      </c>
      <c r="C176" s="5" t="s">
        <v>120</v>
      </c>
      <c r="D176" s="2" t="s">
        <v>367</v>
      </c>
      <c r="E176" s="6">
        <v>5693</v>
      </c>
      <c r="F176" s="1">
        <v>5.32</v>
      </c>
      <c r="G176" s="7">
        <v>46475</v>
      </c>
    </row>
    <row r="177" spans="1:7" x14ac:dyDescent="0.25">
      <c r="A177" s="5" t="s">
        <v>84</v>
      </c>
      <c r="B177" s="5" t="s">
        <v>278</v>
      </c>
      <c r="C177" s="5" t="s">
        <v>121</v>
      </c>
      <c r="D177" s="2" t="s">
        <v>370</v>
      </c>
      <c r="E177" s="6">
        <v>7594</v>
      </c>
      <c r="F177" s="1">
        <v>3.71</v>
      </c>
      <c r="G177" s="7">
        <v>46541</v>
      </c>
    </row>
    <row r="178" spans="1:7" x14ac:dyDescent="0.25">
      <c r="A178" s="5" t="s">
        <v>11</v>
      </c>
      <c r="B178" s="5" t="s">
        <v>279</v>
      </c>
      <c r="C178" s="5" t="s">
        <v>120</v>
      </c>
      <c r="D178" s="2" t="s">
        <v>367</v>
      </c>
      <c r="E178" s="6">
        <v>1436</v>
      </c>
      <c r="F178" s="1">
        <v>5.45</v>
      </c>
      <c r="G178" s="7">
        <v>46378</v>
      </c>
    </row>
    <row r="179" spans="1:7" x14ac:dyDescent="0.25">
      <c r="A179" s="5" t="s">
        <v>86</v>
      </c>
      <c r="B179" s="5" t="s">
        <v>280</v>
      </c>
      <c r="C179" s="5" t="s">
        <v>118</v>
      </c>
      <c r="D179" s="2" t="s">
        <v>364</v>
      </c>
      <c r="E179" s="6">
        <v>2578</v>
      </c>
      <c r="F179" s="1">
        <v>2.4900000000000002</v>
      </c>
      <c r="G179" s="7">
        <v>45889</v>
      </c>
    </row>
    <row r="180" spans="1:7" x14ac:dyDescent="0.25">
      <c r="A180" s="5" t="s">
        <v>83</v>
      </c>
      <c r="B180" s="5" t="s">
        <v>132</v>
      </c>
      <c r="C180" s="5" t="s">
        <v>120</v>
      </c>
      <c r="D180" s="2" t="s">
        <v>367</v>
      </c>
      <c r="E180" s="6">
        <v>7422</v>
      </c>
      <c r="F180" s="1">
        <v>6.47</v>
      </c>
      <c r="G180" s="7">
        <v>45361</v>
      </c>
    </row>
    <row r="181" spans="1:7" x14ac:dyDescent="0.25">
      <c r="A181" s="5" t="s">
        <v>86</v>
      </c>
      <c r="B181" s="5" t="s">
        <v>281</v>
      </c>
      <c r="C181" s="5" t="s">
        <v>120</v>
      </c>
      <c r="D181" s="2" t="s">
        <v>367</v>
      </c>
      <c r="E181" s="6">
        <v>6802</v>
      </c>
      <c r="F181" s="1">
        <v>2.4900000000000002</v>
      </c>
      <c r="G181" s="7">
        <v>45321</v>
      </c>
    </row>
    <row r="182" spans="1:7" x14ac:dyDescent="0.25">
      <c r="A182" s="5" t="s">
        <v>86</v>
      </c>
      <c r="B182" s="5" t="s">
        <v>282</v>
      </c>
      <c r="C182" s="5" t="s">
        <v>118</v>
      </c>
      <c r="D182" s="2" t="s">
        <v>363</v>
      </c>
      <c r="E182" s="6">
        <v>2797</v>
      </c>
      <c r="F182" s="1">
        <v>2.4900000000000002</v>
      </c>
      <c r="G182" s="7">
        <v>46486</v>
      </c>
    </row>
    <row r="183" spans="1:7" x14ac:dyDescent="0.25">
      <c r="A183" s="5" t="s">
        <v>99</v>
      </c>
      <c r="B183" s="5" t="s">
        <v>283</v>
      </c>
      <c r="C183" s="5" t="s">
        <v>121</v>
      </c>
      <c r="D183" s="2" t="s">
        <v>369</v>
      </c>
      <c r="E183" s="6">
        <v>2031</v>
      </c>
      <c r="F183" s="1">
        <v>8.14</v>
      </c>
      <c r="G183" s="7">
        <v>45949</v>
      </c>
    </row>
    <row r="184" spans="1:7" x14ac:dyDescent="0.25">
      <c r="A184" s="5" t="s">
        <v>107</v>
      </c>
      <c r="B184" s="5" t="s">
        <v>284</v>
      </c>
      <c r="C184" s="5" t="s">
        <v>121</v>
      </c>
      <c r="D184" s="2" t="s">
        <v>370</v>
      </c>
      <c r="E184" s="6">
        <v>4801</v>
      </c>
      <c r="F184" s="1">
        <v>8.51</v>
      </c>
      <c r="G184" s="7">
        <v>45447</v>
      </c>
    </row>
    <row r="185" spans="1:7" x14ac:dyDescent="0.25">
      <c r="A185" s="5" t="s">
        <v>79</v>
      </c>
      <c r="B185" s="5" t="s">
        <v>285</v>
      </c>
      <c r="C185" s="5" t="s">
        <v>118</v>
      </c>
      <c r="D185" s="2" t="s">
        <v>366</v>
      </c>
      <c r="E185" s="6">
        <v>3125</v>
      </c>
      <c r="F185" s="1">
        <v>2.48</v>
      </c>
      <c r="G185" s="7">
        <v>45507</v>
      </c>
    </row>
    <row r="186" spans="1:7" x14ac:dyDescent="0.25">
      <c r="A186" s="5" t="s">
        <v>97</v>
      </c>
      <c r="B186" s="5" t="s">
        <v>286</v>
      </c>
      <c r="C186" s="5" t="s">
        <v>121</v>
      </c>
      <c r="D186" s="2" t="s">
        <v>370</v>
      </c>
      <c r="E186" s="6">
        <v>4057</v>
      </c>
      <c r="F186" s="1">
        <v>6.57</v>
      </c>
      <c r="G186" s="7">
        <v>45704</v>
      </c>
    </row>
    <row r="187" spans="1:7" x14ac:dyDescent="0.25">
      <c r="A187" s="5" t="s">
        <v>29</v>
      </c>
      <c r="B187" s="5" t="s">
        <v>287</v>
      </c>
      <c r="C187" s="5" t="s">
        <v>121</v>
      </c>
      <c r="D187" s="2" t="s">
        <v>370</v>
      </c>
      <c r="E187" s="6">
        <v>4706</v>
      </c>
      <c r="F187" s="1">
        <v>9.17</v>
      </c>
      <c r="G187" s="7">
        <v>46529</v>
      </c>
    </row>
    <row r="188" spans="1:7" x14ac:dyDescent="0.25">
      <c r="A188" s="5" t="s">
        <v>92</v>
      </c>
      <c r="B188" s="5" t="s">
        <v>288</v>
      </c>
      <c r="C188" s="5" t="s">
        <v>121</v>
      </c>
      <c r="D188" s="2" t="s">
        <v>369</v>
      </c>
      <c r="E188" s="6">
        <v>4778</v>
      </c>
      <c r="F188" s="1">
        <v>1.69</v>
      </c>
      <c r="G188" s="7">
        <v>46164</v>
      </c>
    </row>
    <row r="189" spans="1:7" x14ac:dyDescent="0.25">
      <c r="A189" s="5"/>
      <c r="B189" s="5"/>
      <c r="C189" s="5"/>
      <c r="E189" s="6"/>
      <c r="F189" s="1"/>
      <c r="G189" s="7"/>
    </row>
    <row r="190" spans="1:7" x14ac:dyDescent="0.25">
      <c r="A190" s="5" t="s">
        <v>88</v>
      </c>
      <c r="B190" s="5" t="s">
        <v>289</v>
      </c>
      <c r="C190" s="5" t="s">
        <v>119</v>
      </c>
      <c r="D190" s="2" t="s">
        <v>372</v>
      </c>
      <c r="E190" s="6">
        <v>3933</v>
      </c>
      <c r="F190" s="1">
        <v>4.46</v>
      </c>
      <c r="G190" s="7">
        <v>46537</v>
      </c>
    </row>
    <row r="191" spans="1:7" x14ac:dyDescent="0.25">
      <c r="A191" s="5" t="s">
        <v>105</v>
      </c>
      <c r="B191" s="5" t="s">
        <v>290</v>
      </c>
      <c r="C191" s="5" t="s">
        <v>120</v>
      </c>
      <c r="D191" s="2" t="s">
        <v>368</v>
      </c>
      <c r="E191" s="6">
        <v>3229</v>
      </c>
      <c r="F191" s="1">
        <v>5.79</v>
      </c>
      <c r="G191" s="7">
        <v>45868</v>
      </c>
    </row>
    <row r="192" spans="1:7" x14ac:dyDescent="0.25">
      <c r="A192" s="5"/>
      <c r="B192" s="5"/>
      <c r="C192" s="5"/>
      <c r="E192" s="6"/>
      <c r="F192" s="1"/>
      <c r="G192" s="7"/>
    </row>
    <row r="193" spans="1:7" x14ac:dyDescent="0.25">
      <c r="A193" s="5"/>
      <c r="B193" s="5"/>
      <c r="C193" s="5"/>
      <c r="E193" s="6"/>
      <c r="F193" s="1"/>
      <c r="G193" s="7"/>
    </row>
    <row r="194" spans="1:7" x14ac:dyDescent="0.25">
      <c r="A194" s="5" t="s">
        <v>62</v>
      </c>
      <c r="B194" s="5" t="s">
        <v>291</v>
      </c>
      <c r="C194" s="5" t="s">
        <v>119</v>
      </c>
      <c r="D194" s="2" t="s">
        <v>371</v>
      </c>
      <c r="E194" s="6">
        <v>2440</v>
      </c>
      <c r="F194" s="1">
        <v>5.76</v>
      </c>
      <c r="G194" s="7">
        <v>45565</v>
      </c>
    </row>
    <row r="195" spans="1:7" x14ac:dyDescent="0.25">
      <c r="A195" s="5" t="s">
        <v>51</v>
      </c>
      <c r="B195" s="5" t="s">
        <v>292</v>
      </c>
      <c r="C195" s="5" t="s">
        <v>121</v>
      </c>
      <c r="D195" s="2" t="s">
        <v>370</v>
      </c>
      <c r="E195" s="6">
        <v>2952</v>
      </c>
      <c r="F195" s="1">
        <v>3.77</v>
      </c>
      <c r="G195" s="7">
        <v>45962</v>
      </c>
    </row>
    <row r="196" spans="1:7" x14ac:dyDescent="0.25">
      <c r="A196" s="5" t="s">
        <v>22</v>
      </c>
      <c r="B196" s="5" t="s">
        <v>293</v>
      </c>
      <c r="C196" s="5" t="s">
        <v>120</v>
      </c>
      <c r="D196" s="2" t="s">
        <v>368</v>
      </c>
      <c r="E196" s="6">
        <v>6483</v>
      </c>
      <c r="F196" s="1">
        <v>4.2699999999999996</v>
      </c>
      <c r="G196" s="7">
        <v>46135</v>
      </c>
    </row>
    <row r="197" spans="1:7" x14ac:dyDescent="0.25">
      <c r="A197" s="5" t="s">
        <v>58</v>
      </c>
      <c r="B197" s="5" t="s">
        <v>294</v>
      </c>
      <c r="C197" s="5" t="s">
        <v>119</v>
      </c>
      <c r="D197" s="2" t="s">
        <v>372</v>
      </c>
      <c r="E197" s="6">
        <v>3363</v>
      </c>
      <c r="F197" s="1">
        <v>6.68</v>
      </c>
      <c r="G197" s="7">
        <v>45450</v>
      </c>
    </row>
    <row r="198" spans="1:7" x14ac:dyDescent="0.25">
      <c r="A198" s="5" t="s">
        <v>88</v>
      </c>
      <c r="B198" s="5" t="s">
        <v>295</v>
      </c>
      <c r="C198" s="5" t="s">
        <v>121</v>
      </c>
      <c r="D198" s="2" t="s">
        <v>369</v>
      </c>
      <c r="E198" s="6">
        <v>3045</v>
      </c>
      <c r="F198" s="1">
        <v>4.46</v>
      </c>
      <c r="G198" s="7">
        <v>46290</v>
      </c>
    </row>
    <row r="199" spans="1:7" x14ac:dyDescent="0.25">
      <c r="A199" s="5" t="s">
        <v>7</v>
      </c>
      <c r="B199" s="5" t="s">
        <v>296</v>
      </c>
      <c r="C199" s="5" t="s">
        <v>120</v>
      </c>
      <c r="D199" s="2" t="s">
        <v>368</v>
      </c>
      <c r="E199" s="6">
        <v>7494</v>
      </c>
      <c r="F199" s="1">
        <v>8.98</v>
      </c>
      <c r="G199" s="7">
        <v>46706</v>
      </c>
    </row>
    <row r="200" spans="1:7" x14ac:dyDescent="0.25">
      <c r="A200" s="5" t="s">
        <v>51</v>
      </c>
      <c r="B200" s="5" t="s">
        <v>297</v>
      </c>
      <c r="C200" s="5" t="s">
        <v>119</v>
      </c>
      <c r="D200" s="2" t="s">
        <v>372</v>
      </c>
      <c r="E200" s="6">
        <v>3792</v>
      </c>
      <c r="F200" s="1">
        <v>3.77</v>
      </c>
      <c r="G200" s="7">
        <v>46555</v>
      </c>
    </row>
    <row r="201" spans="1:7" x14ac:dyDescent="0.25">
      <c r="A201" s="5" t="s">
        <v>97</v>
      </c>
      <c r="B201" s="5" t="s">
        <v>298</v>
      </c>
      <c r="C201" s="5" t="s">
        <v>120</v>
      </c>
      <c r="D201" s="2" t="s">
        <v>368</v>
      </c>
      <c r="E201" s="6">
        <v>5779</v>
      </c>
      <c r="F201" s="1">
        <v>6.57</v>
      </c>
      <c r="G201" s="7">
        <v>45972</v>
      </c>
    </row>
    <row r="202" spans="1:7" x14ac:dyDescent="0.25">
      <c r="A202" s="5" t="s">
        <v>24</v>
      </c>
      <c r="B202" s="5" t="s">
        <v>299</v>
      </c>
      <c r="C202" s="5" t="s">
        <v>120</v>
      </c>
      <c r="D202" s="2" t="s">
        <v>368</v>
      </c>
      <c r="E202" s="6">
        <v>5024</v>
      </c>
      <c r="F202" s="1">
        <v>7.16</v>
      </c>
      <c r="G202" s="7">
        <v>46679</v>
      </c>
    </row>
    <row r="203" spans="1:7" x14ac:dyDescent="0.25">
      <c r="A203" s="5" t="s">
        <v>110</v>
      </c>
      <c r="B203" s="5" t="s">
        <v>300</v>
      </c>
      <c r="C203" s="5" t="s">
        <v>120</v>
      </c>
      <c r="D203" s="2" t="s">
        <v>368</v>
      </c>
      <c r="E203" s="6">
        <v>8760</v>
      </c>
      <c r="F203" s="1">
        <v>7.52</v>
      </c>
      <c r="G203" s="7">
        <v>46561</v>
      </c>
    </row>
    <row r="204" spans="1:7" x14ac:dyDescent="0.25">
      <c r="A204" s="5" t="s">
        <v>10</v>
      </c>
      <c r="B204" s="5" t="s">
        <v>301</v>
      </c>
      <c r="C204" s="5" t="s">
        <v>118</v>
      </c>
      <c r="D204" s="2" t="s">
        <v>366</v>
      </c>
      <c r="E204" s="6">
        <v>1394</v>
      </c>
      <c r="F204" s="1">
        <v>6.46</v>
      </c>
      <c r="G204" s="7">
        <v>46216</v>
      </c>
    </row>
    <row r="205" spans="1:7" x14ac:dyDescent="0.25">
      <c r="A205" s="5" t="s">
        <v>66</v>
      </c>
      <c r="B205" s="5" t="s">
        <v>302</v>
      </c>
      <c r="C205" s="5" t="s">
        <v>119</v>
      </c>
      <c r="D205" s="2" t="s">
        <v>372</v>
      </c>
      <c r="E205" s="6">
        <v>6895</v>
      </c>
      <c r="F205" s="1">
        <v>8.85</v>
      </c>
      <c r="G205" s="7">
        <v>45911</v>
      </c>
    </row>
    <row r="206" spans="1:7" x14ac:dyDescent="0.25">
      <c r="A206" s="5" t="s">
        <v>12</v>
      </c>
      <c r="B206" s="5" t="s">
        <v>303</v>
      </c>
      <c r="C206" s="5" t="s">
        <v>121</v>
      </c>
      <c r="D206" s="2" t="s">
        <v>370</v>
      </c>
      <c r="E206" s="6">
        <v>5779</v>
      </c>
      <c r="F206" s="1">
        <v>5.7</v>
      </c>
      <c r="G206" s="7">
        <v>46390</v>
      </c>
    </row>
    <row r="207" spans="1:7" x14ac:dyDescent="0.25">
      <c r="A207" s="5" t="s">
        <v>24</v>
      </c>
      <c r="B207" s="5" t="s">
        <v>304</v>
      </c>
      <c r="C207" s="5" t="s">
        <v>121</v>
      </c>
      <c r="D207" s="2" t="s">
        <v>369</v>
      </c>
      <c r="E207" s="6">
        <v>1127</v>
      </c>
      <c r="F207" s="1">
        <v>7.16</v>
      </c>
      <c r="G207" s="7">
        <v>46298</v>
      </c>
    </row>
    <row r="208" spans="1:7" x14ac:dyDescent="0.25">
      <c r="A208" s="5" t="s">
        <v>43</v>
      </c>
      <c r="B208" s="5" t="s">
        <v>305</v>
      </c>
      <c r="C208" s="5" t="s">
        <v>119</v>
      </c>
      <c r="D208" s="2" t="s">
        <v>372</v>
      </c>
      <c r="E208" s="6">
        <v>6864</v>
      </c>
      <c r="F208" s="1">
        <v>5.57</v>
      </c>
      <c r="G208" s="7">
        <v>46529</v>
      </c>
    </row>
    <row r="209" spans="1:7" x14ac:dyDescent="0.25">
      <c r="A209" s="5" t="s">
        <v>54</v>
      </c>
      <c r="B209" s="5" t="s">
        <v>306</v>
      </c>
      <c r="C209" s="5" t="s">
        <v>121</v>
      </c>
      <c r="D209" s="2" t="s">
        <v>369</v>
      </c>
      <c r="E209" s="6">
        <v>7368</v>
      </c>
      <c r="F209" s="1">
        <v>7.95</v>
      </c>
      <c r="G209" s="7">
        <v>45751</v>
      </c>
    </row>
    <row r="210" spans="1:7" x14ac:dyDescent="0.25">
      <c r="A210" s="5" t="s">
        <v>107</v>
      </c>
      <c r="B210" s="5" t="s">
        <v>122</v>
      </c>
      <c r="C210" s="5" t="s">
        <v>118</v>
      </c>
      <c r="D210" s="2" t="s">
        <v>365</v>
      </c>
      <c r="E210" s="6">
        <v>4780</v>
      </c>
      <c r="F210" s="1">
        <v>8.51</v>
      </c>
      <c r="G210" s="7">
        <v>46702</v>
      </c>
    </row>
    <row r="211" spans="1:7" x14ac:dyDescent="0.25">
      <c r="A211" s="5" t="s">
        <v>43</v>
      </c>
      <c r="B211" s="5" t="s">
        <v>307</v>
      </c>
      <c r="C211" s="5" t="s">
        <v>119</v>
      </c>
      <c r="D211" s="2" t="s">
        <v>372</v>
      </c>
      <c r="E211" s="6">
        <v>7599</v>
      </c>
      <c r="F211" s="1">
        <v>5.57</v>
      </c>
      <c r="G211" s="7">
        <v>46435</v>
      </c>
    </row>
    <row r="212" spans="1:7" x14ac:dyDescent="0.25">
      <c r="A212" s="5" t="s">
        <v>116</v>
      </c>
      <c r="B212" s="5" t="s">
        <v>308</v>
      </c>
      <c r="C212" s="5" t="s">
        <v>119</v>
      </c>
      <c r="D212" s="2" t="s">
        <v>371</v>
      </c>
      <c r="E212" s="6">
        <v>4117</v>
      </c>
      <c r="F212" s="1">
        <v>3.68</v>
      </c>
      <c r="G212" s="7">
        <v>46174</v>
      </c>
    </row>
    <row r="213" spans="1:7" x14ac:dyDescent="0.25">
      <c r="A213" s="5" t="s">
        <v>37</v>
      </c>
      <c r="B213" s="5" t="s">
        <v>309</v>
      </c>
      <c r="C213" s="5" t="s">
        <v>121</v>
      </c>
      <c r="D213" s="2" t="s">
        <v>370</v>
      </c>
      <c r="E213" s="6">
        <v>5317</v>
      </c>
      <c r="F213" s="1">
        <v>2.78</v>
      </c>
      <c r="G213" s="7">
        <v>46331</v>
      </c>
    </row>
    <row r="214" spans="1:7" x14ac:dyDescent="0.25">
      <c r="A214" s="5" t="s">
        <v>4</v>
      </c>
      <c r="B214" s="5" t="s">
        <v>310</v>
      </c>
      <c r="C214" s="5" t="s">
        <v>121</v>
      </c>
      <c r="D214" s="2" t="s">
        <v>369</v>
      </c>
      <c r="E214" s="6">
        <v>7012</v>
      </c>
      <c r="F214" s="1">
        <v>4.33</v>
      </c>
      <c r="G214" s="7">
        <v>45584</v>
      </c>
    </row>
    <row r="215" spans="1:7" x14ac:dyDescent="0.25">
      <c r="A215" s="5" t="s">
        <v>53</v>
      </c>
      <c r="B215" s="5" t="s">
        <v>311</v>
      </c>
      <c r="C215" s="5" t="s">
        <v>121</v>
      </c>
      <c r="D215" s="2" t="s">
        <v>370</v>
      </c>
      <c r="E215" s="6">
        <v>3297</v>
      </c>
      <c r="F215" s="1">
        <v>3.86</v>
      </c>
      <c r="G215" s="7">
        <v>46536</v>
      </c>
    </row>
    <row r="216" spans="1:7" x14ac:dyDescent="0.25">
      <c r="A216" s="5" t="s">
        <v>102</v>
      </c>
      <c r="B216" s="5" t="s">
        <v>312</v>
      </c>
      <c r="C216" s="5" t="s">
        <v>121</v>
      </c>
      <c r="D216" s="2" t="s">
        <v>370</v>
      </c>
      <c r="E216" s="6">
        <v>5143</v>
      </c>
      <c r="F216" s="1">
        <v>3.85</v>
      </c>
      <c r="G216" s="7">
        <v>45998</v>
      </c>
    </row>
    <row r="217" spans="1:7" x14ac:dyDescent="0.25">
      <c r="A217" s="5" t="s">
        <v>32</v>
      </c>
      <c r="B217" s="5" t="s">
        <v>313</v>
      </c>
      <c r="C217" s="5" t="s">
        <v>118</v>
      </c>
      <c r="D217" s="2" t="s">
        <v>366</v>
      </c>
      <c r="E217" s="6">
        <v>2136</v>
      </c>
      <c r="F217" s="1">
        <v>4.8099999999999996</v>
      </c>
      <c r="G217" s="7">
        <v>45620</v>
      </c>
    </row>
    <row r="218" spans="1:7" x14ac:dyDescent="0.25">
      <c r="A218" s="5" t="s">
        <v>36</v>
      </c>
      <c r="B218" s="5" t="s">
        <v>314</v>
      </c>
      <c r="C218" s="5" t="s">
        <v>119</v>
      </c>
      <c r="D218" s="2" t="s">
        <v>372</v>
      </c>
      <c r="E218" s="6">
        <v>8191</v>
      </c>
      <c r="F218" s="1">
        <v>2.76</v>
      </c>
      <c r="G218" s="7">
        <v>45305</v>
      </c>
    </row>
    <row r="219" spans="1:7" x14ac:dyDescent="0.25">
      <c r="A219" s="5" t="s">
        <v>19</v>
      </c>
      <c r="B219" s="5" t="s">
        <v>315</v>
      </c>
      <c r="C219" s="5" t="s">
        <v>120</v>
      </c>
      <c r="D219" s="2" t="s">
        <v>368</v>
      </c>
      <c r="E219" s="6">
        <v>4529</v>
      </c>
      <c r="F219" s="1">
        <v>4.83</v>
      </c>
      <c r="G219" s="7">
        <v>45581</v>
      </c>
    </row>
    <row r="220" spans="1:7" x14ac:dyDescent="0.25">
      <c r="A220" s="5" t="s">
        <v>65</v>
      </c>
      <c r="B220" s="5" t="s">
        <v>316</v>
      </c>
      <c r="C220" s="5" t="s">
        <v>121</v>
      </c>
      <c r="D220" s="2" t="s">
        <v>369</v>
      </c>
      <c r="E220" s="6">
        <v>3553</v>
      </c>
      <c r="F220" s="1">
        <v>1.52</v>
      </c>
      <c r="G220" s="7">
        <v>45549</v>
      </c>
    </row>
    <row r="221" spans="1:7" x14ac:dyDescent="0.25">
      <c r="A221" s="5" t="s">
        <v>40</v>
      </c>
      <c r="B221" s="5" t="s">
        <v>317</v>
      </c>
      <c r="C221" s="5" t="s">
        <v>121</v>
      </c>
      <c r="D221" s="2" t="s">
        <v>370</v>
      </c>
      <c r="E221" s="6">
        <v>3360</v>
      </c>
      <c r="F221" s="1">
        <v>7.11</v>
      </c>
      <c r="G221" s="7">
        <v>46591</v>
      </c>
    </row>
    <row r="222" spans="1:7" x14ac:dyDescent="0.25">
      <c r="A222" s="5" t="s">
        <v>7</v>
      </c>
      <c r="B222" s="5" t="s">
        <v>318</v>
      </c>
      <c r="C222" s="5" t="s">
        <v>118</v>
      </c>
      <c r="D222" s="2" t="s">
        <v>365</v>
      </c>
      <c r="E222" s="6">
        <v>5329</v>
      </c>
      <c r="F222" s="1">
        <v>8.98</v>
      </c>
      <c r="G222" s="7">
        <v>46702</v>
      </c>
    </row>
    <row r="223" spans="1:7" x14ac:dyDescent="0.25">
      <c r="A223" s="5"/>
      <c r="B223" s="5"/>
      <c r="C223" s="5"/>
      <c r="E223" s="6"/>
      <c r="F223" s="1"/>
      <c r="G223" s="7"/>
    </row>
    <row r="224" spans="1:7" x14ac:dyDescent="0.25">
      <c r="A224" s="5" t="s">
        <v>17</v>
      </c>
      <c r="B224" s="5" t="s">
        <v>319</v>
      </c>
      <c r="C224" s="5" t="s">
        <v>118</v>
      </c>
      <c r="D224" s="2" t="s">
        <v>363</v>
      </c>
      <c r="E224" s="6">
        <v>8310</v>
      </c>
      <c r="F224" s="1">
        <v>9.24</v>
      </c>
      <c r="G224" s="7">
        <v>45435</v>
      </c>
    </row>
    <row r="225" spans="1:7" x14ac:dyDescent="0.25">
      <c r="A225" s="5" t="s">
        <v>69</v>
      </c>
      <c r="B225" s="5" t="s">
        <v>320</v>
      </c>
      <c r="C225" s="5" t="s">
        <v>118</v>
      </c>
      <c r="D225" s="2" t="s">
        <v>365</v>
      </c>
      <c r="E225" s="6">
        <v>3166</v>
      </c>
      <c r="F225" s="1">
        <v>6.76</v>
      </c>
      <c r="G225" s="7">
        <v>46012</v>
      </c>
    </row>
    <row r="226" spans="1:7" x14ac:dyDescent="0.25">
      <c r="A226" s="5" t="s">
        <v>53</v>
      </c>
      <c r="B226" s="5" t="s">
        <v>321</v>
      </c>
      <c r="C226" s="5" t="s">
        <v>121</v>
      </c>
      <c r="D226" s="2" t="s">
        <v>370</v>
      </c>
      <c r="E226" s="6">
        <v>6237</v>
      </c>
      <c r="F226" s="1">
        <v>3.86</v>
      </c>
      <c r="G226" s="7">
        <v>46299</v>
      </c>
    </row>
    <row r="227" spans="1:7" x14ac:dyDescent="0.25">
      <c r="A227" s="5" t="s">
        <v>82</v>
      </c>
      <c r="B227" s="5" t="s">
        <v>322</v>
      </c>
      <c r="C227" s="5" t="s">
        <v>119</v>
      </c>
      <c r="D227" s="2" t="s">
        <v>371</v>
      </c>
      <c r="E227" s="6">
        <v>9963</v>
      </c>
      <c r="F227" s="1">
        <v>7.45</v>
      </c>
      <c r="G227" s="7">
        <v>45413</v>
      </c>
    </row>
    <row r="228" spans="1:7" x14ac:dyDescent="0.25">
      <c r="A228" s="5"/>
      <c r="B228" s="5"/>
      <c r="C228" s="5"/>
      <c r="E228" s="6"/>
      <c r="F228" s="1"/>
      <c r="G228" s="7"/>
    </row>
    <row r="229" spans="1:7" x14ac:dyDescent="0.25">
      <c r="A229" s="5" t="s">
        <v>91</v>
      </c>
      <c r="B229" s="5" t="s">
        <v>126</v>
      </c>
      <c r="C229" s="5" t="s">
        <v>120</v>
      </c>
      <c r="D229" s="2" t="s">
        <v>367</v>
      </c>
      <c r="E229" s="6">
        <v>7440</v>
      </c>
      <c r="F229" s="1">
        <v>1.65</v>
      </c>
      <c r="G229" s="7">
        <v>45712</v>
      </c>
    </row>
    <row r="230" spans="1:7" x14ac:dyDescent="0.25">
      <c r="A230" s="5" t="s">
        <v>73</v>
      </c>
      <c r="B230" s="5" t="s">
        <v>323</v>
      </c>
      <c r="C230" s="5" t="s">
        <v>120</v>
      </c>
      <c r="D230" s="2" t="s">
        <v>367</v>
      </c>
      <c r="E230" s="6">
        <v>2945</v>
      </c>
      <c r="F230" s="1">
        <v>9.24</v>
      </c>
      <c r="G230" s="7">
        <v>46723</v>
      </c>
    </row>
    <row r="231" spans="1:7" x14ac:dyDescent="0.25">
      <c r="A231" s="5" t="s">
        <v>55</v>
      </c>
      <c r="B231" s="5" t="s">
        <v>324</v>
      </c>
      <c r="C231" s="5" t="s">
        <v>121</v>
      </c>
      <c r="D231" s="2" t="s">
        <v>370</v>
      </c>
      <c r="E231" s="6">
        <v>8058</v>
      </c>
      <c r="F231" s="1">
        <v>5.32</v>
      </c>
      <c r="G231" s="7">
        <v>45930</v>
      </c>
    </row>
    <row r="232" spans="1:7" x14ac:dyDescent="0.25">
      <c r="A232" s="5" t="s">
        <v>15</v>
      </c>
      <c r="B232" s="5" t="s">
        <v>325</v>
      </c>
      <c r="C232" s="5" t="s">
        <v>118</v>
      </c>
      <c r="D232" s="2" t="s">
        <v>363</v>
      </c>
      <c r="E232" s="6">
        <v>1818</v>
      </c>
      <c r="F232" s="1">
        <v>8.4600000000000009</v>
      </c>
      <c r="G232" s="7">
        <v>45813</v>
      </c>
    </row>
    <row r="233" spans="1:7" x14ac:dyDescent="0.25">
      <c r="A233" s="5" t="s">
        <v>24</v>
      </c>
      <c r="B233" s="5" t="s">
        <v>326</v>
      </c>
      <c r="C233" s="5" t="s">
        <v>120</v>
      </c>
      <c r="D233" s="2" t="s">
        <v>368</v>
      </c>
      <c r="E233" s="6">
        <v>1480</v>
      </c>
      <c r="F233" s="1">
        <v>7.16</v>
      </c>
      <c r="G233" s="7">
        <v>45666</v>
      </c>
    </row>
    <row r="234" spans="1:7" x14ac:dyDescent="0.25">
      <c r="A234" s="5" t="s">
        <v>116</v>
      </c>
      <c r="B234" s="5" t="s">
        <v>327</v>
      </c>
      <c r="C234" s="5" t="s">
        <v>119</v>
      </c>
      <c r="D234" s="2" t="s">
        <v>371</v>
      </c>
      <c r="E234" s="6">
        <v>3196</v>
      </c>
      <c r="F234" s="1">
        <v>3.68</v>
      </c>
      <c r="G234" s="7">
        <v>46722</v>
      </c>
    </row>
    <row r="235" spans="1:7" x14ac:dyDescent="0.25">
      <c r="A235" s="5" t="s">
        <v>90</v>
      </c>
      <c r="B235" s="5" t="s">
        <v>137</v>
      </c>
      <c r="C235" s="5" t="s">
        <v>119</v>
      </c>
      <c r="D235" s="2" t="s">
        <v>372</v>
      </c>
      <c r="E235" s="6">
        <v>5166</v>
      </c>
      <c r="F235" s="1">
        <v>1.89</v>
      </c>
      <c r="G235" s="7">
        <v>45703</v>
      </c>
    </row>
    <row r="236" spans="1:7" x14ac:dyDescent="0.25">
      <c r="A236" s="5" t="s">
        <v>56</v>
      </c>
      <c r="B236" s="5" t="s">
        <v>328</v>
      </c>
      <c r="C236" s="5" t="s">
        <v>121</v>
      </c>
      <c r="D236" s="2" t="s">
        <v>369</v>
      </c>
      <c r="E236" s="6">
        <v>8560</v>
      </c>
      <c r="F236" s="1">
        <v>3.26</v>
      </c>
      <c r="G236" s="7">
        <v>45699</v>
      </c>
    </row>
    <row r="237" spans="1:7" x14ac:dyDescent="0.25">
      <c r="A237" s="5" t="s">
        <v>47</v>
      </c>
      <c r="B237" s="5" t="s">
        <v>329</v>
      </c>
      <c r="C237" s="5" t="s">
        <v>119</v>
      </c>
      <c r="D237" s="2" t="s">
        <v>372</v>
      </c>
      <c r="E237" s="6">
        <v>3587</v>
      </c>
      <c r="F237" s="1">
        <v>4.1500000000000004</v>
      </c>
      <c r="G237" s="7">
        <v>45476</v>
      </c>
    </row>
    <row r="238" spans="1:7" x14ac:dyDescent="0.25">
      <c r="A238" s="5" t="s">
        <v>57</v>
      </c>
      <c r="B238" s="5" t="s">
        <v>330</v>
      </c>
      <c r="C238" s="5" t="s">
        <v>119</v>
      </c>
      <c r="D238" s="2" t="s">
        <v>371</v>
      </c>
      <c r="E238" s="6">
        <v>4642</v>
      </c>
      <c r="F238" s="1">
        <v>6.77</v>
      </c>
      <c r="G238" s="7">
        <v>45294</v>
      </c>
    </row>
    <row r="239" spans="1:7" x14ac:dyDescent="0.25">
      <c r="A239" s="5" t="s">
        <v>103</v>
      </c>
      <c r="B239" s="5" t="s">
        <v>331</v>
      </c>
      <c r="C239" s="5" t="s">
        <v>118</v>
      </c>
      <c r="D239" s="2" t="s">
        <v>365</v>
      </c>
      <c r="E239" s="6">
        <v>8070</v>
      </c>
      <c r="F239" s="1">
        <v>7.14</v>
      </c>
      <c r="G239" s="7">
        <v>46364</v>
      </c>
    </row>
    <row r="240" spans="1:7" x14ac:dyDescent="0.25">
      <c r="A240" s="5" t="s">
        <v>68</v>
      </c>
      <c r="B240" s="5" t="s">
        <v>332</v>
      </c>
      <c r="C240" s="5" t="s">
        <v>120</v>
      </c>
      <c r="D240" s="2" t="s">
        <v>367</v>
      </c>
      <c r="E240" s="6">
        <v>7108</v>
      </c>
      <c r="F240" s="1">
        <v>8.32</v>
      </c>
      <c r="G240" s="7">
        <v>46512</v>
      </c>
    </row>
    <row r="241" spans="1:7" x14ac:dyDescent="0.25">
      <c r="A241" s="5" t="s">
        <v>21</v>
      </c>
      <c r="B241" s="5" t="s">
        <v>130</v>
      </c>
      <c r="C241" s="5" t="s">
        <v>118</v>
      </c>
      <c r="D241" s="2" t="s">
        <v>365</v>
      </c>
      <c r="E241" s="6">
        <v>7106</v>
      </c>
      <c r="F241" s="1">
        <v>3.64</v>
      </c>
      <c r="G241" s="7">
        <v>46239</v>
      </c>
    </row>
    <row r="242" spans="1:7" x14ac:dyDescent="0.25">
      <c r="A242" s="5" t="s">
        <v>53</v>
      </c>
      <c r="B242" s="5" t="s">
        <v>333</v>
      </c>
      <c r="C242" s="5" t="s">
        <v>120</v>
      </c>
      <c r="D242" s="2" t="s">
        <v>367</v>
      </c>
      <c r="E242" s="6">
        <v>7422</v>
      </c>
      <c r="F242" s="1">
        <v>3.86</v>
      </c>
      <c r="G242" s="7">
        <v>45658</v>
      </c>
    </row>
    <row r="243" spans="1:7" x14ac:dyDescent="0.25">
      <c r="A243" s="5" t="s">
        <v>46</v>
      </c>
      <c r="B243" s="5" t="s">
        <v>334</v>
      </c>
      <c r="C243" s="5" t="s">
        <v>121</v>
      </c>
      <c r="D243" s="2" t="s">
        <v>369</v>
      </c>
      <c r="E243" s="6">
        <v>1110</v>
      </c>
      <c r="F243" s="1">
        <v>6.96</v>
      </c>
      <c r="G243" s="7">
        <v>46071</v>
      </c>
    </row>
    <row r="244" spans="1:7" x14ac:dyDescent="0.25">
      <c r="A244" s="5" t="s">
        <v>21</v>
      </c>
      <c r="B244" s="5" t="s">
        <v>335</v>
      </c>
      <c r="C244" s="5" t="s">
        <v>121</v>
      </c>
      <c r="D244" s="2" t="s">
        <v>369</v>
      </c>
      <c r="E244" s="6">
        <v>1987</v>
      </c>
      <c r="F244" s="1">
        <v>3.64</v>
      </c>
      <c r="G244" s="7">
        <v>46129</v>
      </c>
    </row>
    <row r="245" spans="1:7" x14ac:dyDescent="0.25">
      <c r="A245" s="5" t="s">
        <v>46</v>
      </c>
      <c r="B245" s="5" t="s">
        <v>336</v>
      </c>
      <c r="C245" s="5" t="s">
        <v>118</v>
      </c>
      <c r="D245" s="2" t="s">
        <v>365</v>
      </c>
      <c r="E245" s="6">
        <v>1142</v>
      </c>
      <c r="F245" s="1">
        <v>6.96</v>
      </c>
      <c r="G245" s="7">
        <v>46086</v>
      </c>
    </row>
    <row r="246" spans="1:7" x14ac:dyDescent="0.25">
      <c r="A246" s="5" t="s">
        <v>98</v>
      </c>
      <c r="B246" s="5" t="s">
        <v>337</v>
      </c>
      <c r="C246" s="5" t="s">
        <v>119</v>
      </c>
      <c r="D246" s="2" t="s">
        <v>371</v>
      </c>
      <c r="E246" s="6">
        <v>4378</v>
      </c>
      <c r="F246" s="1">
        <v>7.43</v>
      </c>
      <c r="G246" s="7">
        <v>46716</v>
      </c>
    </row>
    <row r="247" spans="1:7" x14ac:dyDescent="0.25">
      <c r="A247" s="5" t="s">
        <v>33</v>
      </c>
      <c r="B247" s="5" t="s">
        <v>338</v>
      </c>
      <c r="C247" s="5" t="s">
        <v>121</v>
      </c>
      <c r="D247" s="2" t="s">
        <v>369</v>
      </c>
      <c r="E247" s="6">
        <v>4878</v>
      </c>
      <c r="F247" s="1">
        <v>6.67</v>
      </c>
      <c r="G247" s="7">
        <v>45465</v>
      </c>
    </row>
    <row r="248" spans="1:7" x14ac:dyDescent="0.25">
      <c r="A248" s="5" t="s">
        <v>44</v>
      </c>
      <c r="B248" s="5" t="s">
        <v>339</v>
      </c>
      <c r="C248" s="5" t="s">
        <v>121</v>
      </c>
      <c r="D248" s="2" t="s">
        <v>370</v>
      </c>
      <c r="E248" s="6">
        <v>6156</v>
      </c>
      <c r="F248" s="1">
        <v>2.27</v>
      </c>
      <c r="G248" s="7">
        <v>46233</v>
      </c>
    </row>
    <row r="249" spans="1:7" x14ac:dyDescent="0.25">
      <c r="A249" s="5" t="s">
        <v>24</v>
      </c>
      <c r="B249" s="5" t="s">
        <v>340</v>
      </c>
      <c r="C249" s="5" t="s">
        <v>121</v>
      </c>
      <c r="D249" s="2" t="s">
        <v>370</v>
      </c>
      <c r="E249" s="6">
        <v>3431</v>
      </c>
      <c r="F249" s="1">
        <v>7.16</v>
      </c>
      <c r="G249" s="7">
        <v>45516</v>
      </c>
    </row>
    <row r="250" spans="1:7" x14ac:dyDescent="0.25">
      <c r="A250" s="5"/>
      <c r="B250" s="5"/>
      <c r="C250" s="5"/>
      <c r="E250" s="6"/>
      <c r="F250" s="1"/>
      <c r="G250" s="7"/>
    </row>
    <row r="251" spans="1:7" x14ac:dyDescent="0.25">
      <c r="A251" s="5"/>
      <c r="B251" s="5"/>
      <c r="C251" s="5"/>
      <c r="E251" s="6"/>
      <c r="F251" s="1"/>
      <c r="G251" s="7"/>
    </row>
    <row r="252" spans="1:7" x14ac:dyDescent="0.25">
      <c r="A252" s="5" t="s">
        <v>89</v>
      </c>
      <c r="B252" s="5" t="s">
        <v>341</v>
      </c>
      <c r="C252" s="5" t="s">
        <v>120</v>
      </c>
      <c r="D252" s="2" t="s">
        <v>367</v>
      </c>
      <c r="E252" s="6">
        <v>3242</v>
      </c>
      <c r="F252" s="1">
        <v>8.16</v>
      </c>
      <c r="G252" s="7">
        <v>45955</v>
      </c>
    </row>
    <row r="253" spans="1:7" x14ac:dyDescent="0.25">
      <c r="A253" s="5" t="s">
        <v>63</v>
      </c>
      <c r="B253" s="5" t="s">
        <v>342</v>
      </c>
      <c r="C253" s="5" t="s">
        <v>119</v>
      </c>
      <c r="D253" s="2" t="s">
        <v>371</v>
      </c>
      <c r="E253" s="6">
        <v>7690</v>
      </c>
      <c r="F253" s="1">
        <v>7.22</v>
      </c>
      <c r="G253" s="7">
        <v>46505</v>
      </c>
    </row>
    <row r="254" spans="1:7" x14ac:dyDescent="0.25">
      <c r="A254" s="5" t="s">
        <v>96</v>
      </c>
      <c r="B254" s="5" t="s">
        <v>343</v>
      </c>
      <c r="C254" s="5" t="s">
        <v>118</v>
      </c>
      <c r="D254" s="2" t="s">
        <v>366</v>
      </c>
      <c r="E254" s="6">
        <v>4018</v>
      </c>
      <c r="F254" s="1">
        <v>4.8099999999999996</v>
      </c>
      <c r="G254" s="7">
        <v>46439</v>
      </c>
    </row>
    <row r="255" spans="1:7" x14ac:dyDescent="0.25">
      <c r="A255" s="5" t="s">
        <v>53</v>
      </c>
      <c r="B255" s="5" t="s">
        <v>344</v>
      </c>
      <c r="C255" s="5" t="s">
        <v>121</v>
      </c>
      <c r="D255" s="2" t="s">
        <v>370</v>
      </c>
      <c r="E255" s="6">
        <v>7047</v>
      </c>
      <c r="F255" s="1">
        <v>3.86</v>
      </c>
      <c r="G255" s="7">
        <v>45788</v>
      </c>
    </row>
    <row r="256" spans="1:7" x14ac:dyDescent="0.25">
      <c r="A256" s="5" t="s">
        <v>49</v>
      </c>
      <c r="B256" s="5" t="s">
        <v>345</v>
      </c>
      <c r="C256" s="5" t="s">
        <v>120</v>
      </c>
      <c r="D256" s="2" t="s">
        <v>367</v>
      </c>
      <c r="E256" s="6">
        <v>4400</v>
      </c>
      <c r="F256" s="1">
        <v>7.42</v>
      </c>
      <c r="G256" s="7">
        <v>45867</v>
      </c>
    </row>
    <row r="257" spans="1:7" x14ac:dyDescent="0.25">
      <c r="A257" s="5" t="s">
        <v>62</v>
      </c>
      <c r="B257" s="5" t="s">
        <v>346</v>
      </c>
      <c r="C257" s="5" t="s">
        <v>120</v>
      </c>
      <c r="D257" s="2" t="s">
        <v>368</v>
      </c>
      <c r="E257" s="6">
        <v>7408</v>
      </c>
      <c r="F257" s="1">
        <v>5.76</v>
      </c>
      <c r="G257" s="7">
        <v>46679</v>
      </c>
    </row>
    <row r="258" spans="1:7" x14ac:dyDescent="0.25">
      <c r="A258" s="5"/>
      <c r="B258" s="5"/>
      <c r="C258" s="5"/>
      <c r="E258" s="6"/>
      <c r="F258" s="1"/>
      <c r="G258" s="7"/>
    </row>
    <row r="259" spans="1:7" x14ac:dyDescent="0.25">
      <c r="A259" s="5" t="s">
        <v>34</v>
      </c>
      <c r="B259" s="5" t="s">
        <v>347</v>
      </c>
      <c r="C259" s="5" t="s">
        <v>120</v>
      </c>
      <c r="D259" s="2" t="s">
        <v>367</v>
      </c>
      <c r="E259" s="6">
        <v>2013</v>
      </c>
      <c r="F259" s="1">
        <v>3.52</v>
      </c>
      <c r="G259" s="7">
        <v>46053</v>
      </c>
    </row>
    <row r="260" spans="1:7" x14ac:dyDescent="0.25">
      <c r="A260" s="5" t="s">
        <v>59</v>
      </c>
      <c r="B260" s="5" t="s">
        <v>348</v>
      </c>
      <c r="C260" s="5" t="s">
        <v>121</v>
      </c>
      <c r="D260" s="2" t="s">
        <v>369</v>
      </c>
      <c r="E260" s="6">
        <v>1532</v>
      </c>
      <c r="F260" s="1">
        <v>5.55</v>
      </c>
      <c r="G260" s="7">
        <v>46430</v>
      </c>
    </row>
    <row r="261" spans="1:7" x14ac:dyDescent="0.25">
      <c r="A261" s="5" t="s">
        <v>35</v>
      </c>
      <c r="B261" s="5" t="s">
        <v>249</v>
      </c>
      <c r="C261" s="5" t="s">
        <v>120</v>
      </c>
      <c r="D261" s="2" t="s">
        <v>367</v>
      </c>
      <c r="E261" s="6">
        <v>4534</v>
      </c>
      <c r="F261" s="1">
        <v>2.0299999999999998</v>
      </c>
      <c r="G261" s="7">
        <v>46391</v>
      </c>
    </row>
    <row r="262" spans="1:7" x14ac:dyDescent="0.25">
      <c r="A262" s="5" t="s">
        <v>84</v>
      </c>
      <c r="B262" s="5" t="s">
        <v>349</v>
      </c>
      <c r="C262" s="5" t="s">
        <v>118</v>
      </c>
      <c r="D262" s="2" t="s">
        <v>366</v>
      </c>
      <c r="E262" s="6">
        <v>5064</v>
      </c>
      <c r="F262" s="1">
        <v>3.71</v>
      </c>
      <c r="G262" s="7">
        <v>45473</v>
      </c>
    </row>
    <row r="263" spans="1:7" x14ac:dyDescent="0.25">
      <c r="A263" s="5"/>
      <c r="B263" s="5"/>
      <c r="C263" s="5"/>
      <c r="E263" s="6"/>
      <c r="F263" s="1"/>
      <c r="G263" s="7"/>
    </row>
    <row r="264" spans="1:7" x14ac:dyDescent="0.25">
      <c r="A264" s="5" t="s">
        <v>12</v>
      </c>
      <c r="B264" s="5" t="s">
        <v>350</v>
      </c>
      <c r="C264" s="5" t="s">
        <v>118</v>
      </c>
      <c r="D264" s="2" t="s">
        <v>366</v>
      </c>
      <c r="E264" s="6">
        <v>5588</v>
      </c>
      <c r="F264" s="1">
        <v>5.7</v>
      </c>
      <c r="G264" s="7">
        <v>45449</v>
      </c>
    </row>
    <row r="265" spans="1:7" x14ac:dyDescent="0.25">
      <c r="A265" s="5" t="s">
        <v>22</v>
      </c>
      <c r="B265" s="5" t="s">
        <v>351</v>
      </c>
      <c r="C265" s="5" t="s">
        <v>119</v>
      </c>
      <c r="D265" s="2" t="s">
        <v>371</v>
      </c>
      <c r="E265" s="6">
        <v>3882</v>
      </c>
      <c r="F265" s="1">
        <v>4.2699999999999996</v>
      </c>
      <c r="G265" s="7">
        <v>45330</v>
      </c>
    </row>
    <row r="266" spans="1:7" x14ac:dyDescent="0.25">
      <c r="A266" s="5" t="s">
        <v>69</v>
      </c>
      <c r="B266" s="5" t="s">
        <v>352</v>
      </c>
      <c r="C266" s="5" t="s">
        <v>118</v>
      </c>
      <c r="D266" s="2" t="s">
        <v>366</v>
      </c>
      <c r="E266" s="6">
        <v>5680</v>
      </c>
      <c r="F266" s="1">
        <v>6.76</v>
      </c>
      <c r="G266" s="7">
        <v>45691</v>
      </c>
    </row>
    <row r="267" spans="1:7" x14ac:dyDescent="0.25">
      <c r="A267" s="5" t="s">
        <v>48</v>
      </c>
      <c r="B267" s="5" t="s">
        <v>353</v>
      </c>
      <c r="C267" s="5" t="s">
        <v>119</v>
      </c>
      <c r="D267" s="2" t="s">
        <v>371</v>
      </c>
      <c r="E267" s="6">
        <v>4974</v>
      </c>
      <c r="F267" s="1">
        <v>5.48</v>
      </c>
      <c r="G267" s="7">
        <v>46438</v>
      </c>
    </row>
    <row r="268" spans="1:7" x14ac:dyDescent="0.25">
      <c r="A268" s="5" t="s">
        <v>100</v>
      </c>
      <c r="B268" s="5" t="s">
        <v>129</v>
      </c>
      <c r="C268" s="5" t="s">
        <v>118</v>
      </c>
      <c r="D268" s="2" t="s">
        <v>363</v>
      </c>
      <c r="E268" s="6">
        <v>4436</v>
      </c>
      <c r="F268" s="1">
        <v>4.95</v>
      </c>
      <c r="G268" s="7">
        <v>46658</v>
      </c>
    </row>
    <row r="269" spans="1:7" x14ac:dyDescent="0.25">
      <c r="A269" s="5" t="s">
        <v>4</v>
      </c>
      <c r="B269" s="5" t="s">
        <v>354</v>
      </c>
      <c r="C269" s="5" t="s">
        <v>121</v>
      </c>
      <c r="D269" s="2" t="s">
        <v>370</v>
      </c>
      <c r="E269" s="6">
        <v>3088</v>
      </c>
      <c r="F269" s="1">
        <v>4.33</v>
      </c>
      <c r="G269" s="7">
        <v>46555</v>
      </c>
    </row>
    <row r="270" spans="1:7" x14ac:dyDescent="0.25">
      <c r="A270" s="5" t="s">
        <v>68</v>
      </c>
      <c r="B270" s="5" t="s">
        <v>355</v>
      </c>
      <c r="C270" s="5" t="s">
        <v>121</v>
      </c>
      <c r="D270" s="2" t="s">
        <v>369</v>
      </c>
      <c r="E270" s="6">
        <v>3274</v>
      </c>
      <c r="F270" s="1">
        <v>8.32</v>
      </c>
      <c r="G270" s="7">
        <v>45324</v>
      </c>
    </row>
    <row r="271" spans="1:7" x14ac:dyDescent="0.25">
      <c r="A271" s="5" t="s">
        <v>72</v>
      </c>
      <c r="B271" s="5" t="s">
        <v>356</v>
      </c>
      <c r="C271" s="5" t="s">
        <v>121</v>
      </c>
      <c r="D271" s="2" t="s">
        <v>370</v>
      </c>
      <c r="E271" s="6">
        <v>6254</v>
      </c>
      <c r="F271" s="1">
        <v>5.86</v>
      </c>
      <c r="G271" s="7">
        <v>45781</v>
      </c>
    </row>
    <row r="272" spans="1:7" x14ac:dyDescent="0.25">
      <c r="A272" s="5" t="s">
        <v>109</v>
      </c>
      <c r="B272" s="5" t="s">
        <v>357</v>
      </c>
      <c r="C272" s="5" t="s">
        <v>121</v>
      </c>
      <c r="D272" s="2" t="s">
        <v>370</v>
      </c>
      <c r="E272" s="6">
        <v>1737</v>
      </c>
      <c r="F272" s="1">
        <v>8.59</v>
      </c>
      <c r="G272" s="7">
        <v>46249</v>
      </c>
    </row>
    <row r="273" spans="1:7" x14ac:dyDescent="0.25">
      <c r="A273" s="5" t="s">
        <v>21</v>
      </c>
      <c r="B273" s="5" t="s">
        <v>358</v>
      </c>
      <c r="C273" s="5" t="s">
        <v>120</v>
      </c>
      <c r="D273" s="2" t="s">
        <v>368</v>
      </c>
      <c r="E273" s="6">
        <v>8128</v>
      </c>
      <c r="F273" s="1">
        <v>3.64</v>
      </c>
      <c r="G273" s="7">
        <v>46380</v>
      </c>
    </row>
    <row r="274" spans="1:7" x14ac:dyDescent="0.25">
      <c r="A274" s="5" t="s">
        <v>84</v>
      </c>
      <c r="B274" s="5" t="s">
        <v>359</v>
      </c>
      <c r="C274" s="5" t="s">
        <v>119</v>
      </c>
      <c r="D274" s="2" t="s">
        <v>371</v>
      </c>
      <c r="E274" s="6">
        <v>3981</v>
      </c>
      <c r="F274" s="1">
        <v>3.71</v>
      </c>
      <c r="G274" s="7">
        <v>45924</v>
      </c>
    </row>
    <row r="275" spans="1:7" x14ac:dyDescent="0.25">
      <c r="A275" s="5" t="s">
        <v>45</v>
      </c>
      <c r="B275" s="5" t="s">
        <v>360</v>
      </c>
      <c r="C275" s="5" t="s">
        <v>120</v>
      </c>
      <c r="D275" s="2" t="s">
        <v>367</v>
      </c>
      <c r="E275" s="6">
        <v>2056</v>
      </c>
      <c r="F275" s="1">
        <v>1.67</v>
      </c>
      <c r="G275" s="7">
        <v>45639</v>
      </c>
    </row>
    <row r="276" spans="1:7" x14ac:dyDescent="0.25">
      <c r="A276" s="5" t="s">
        <v>17</v>
      </c>
      <c r="B276" s="5" t="s">
        <v>125</v>
      </c>
      <c r="C276" s="5" t="s">
        <v>121</v>
      </c>
      <c r="D276" s="2" t="s">
        <v>370</v>
      </c>
      <c r="E276" s="6">
        <v>4163</v>
      </c>
      <c r="F276" s="1">
        <v>9.24</v>
      </c>
      <c r="G276" s="7">
        <v>45737</v>
      </c>
    </row>
    <row r="277" spans="1:7" x14ac:dyDescent="0.25">
      <c r="A277" s="5"/>
      <c r="B277" s="5"/>
      <c r="C277" s="5"/>
      <c r="E277" s="6"/>
      <c r="F277" s="1"/>
      <c r="G277" s="7"/>
    </row>
    <row r="278" spans="1:7" x14ac:dyDescent="0.25">
      <c r="A278" s="5" t="s">
        <v>105</v>
      </c>
      <c r="B278" s="5" t="s">
        <v>361</v>
      </c>
      <c r="C278" s="5" t="s">
        <v>121</v>
      </c>
      <c r="D278" s="2" t="s">
        <v>369</v>
      </c>
      <c r="E278" s="6">
        <v>5172</v>
      </c>
      <c r="F278" s="1">
        <v>5.79</v>
      </c>
      <c r="G278" s="7">
        <v>45647</v>
      </c>
    </row>
    <row r="279" spans="1:7" x14ac:dyDescent="0.25">
      <c r="A279" s="8" t="s">
        <v>378</v>
      </c>
      <c r="B279" s="8" t="s">
        <v>375</v>
      </c>
      <c r="C279" s="8" t="s">
        <v>119</v>
      </c>
      <c r="D279" s="8" t="s">
        <v>371</v>
      </c>
      <c r="E279" s="9">
        <v>7690</v>
      </c>
      <c r="F279" s="10">
        <v>7.22</v>
      </c>
      <c r="G279" s="11">
        <v>46505</v>
      </c>
    </row>
    <row r="280" spans="1:7" x14ac:dyDescent="0.25">
      <c r="A280" s="5" t="s">
        <v>380</v>
      </c>
      <c r="B280" s="5" t="s">
        <v>358</v>
      </c>
      <c r="C280" s="5" t="s">
        <v>120</v>
      </c>
      <c r="D280" s="2" t="s">
        <v>368</v>
      </c>
      <c r="E280" s="6">
        <v>8128</v>
      </c>
      <c r="F280" s="1">
        <v>3.64</v>
      </c>
      <c r="G280" s="7">
        <v>46380</v>
      </c>
    </row>
    <row r="281" spans="1:7" x14ac:dyDescent="0.25">
      <c r="A281" s="5"/>
      <c r="B281" s="5"/>
      <c r="C281" s="5"/>
      <c r="E281" s="6"/>
      <c r="F281" s="1"/>
      <c r="G281" s="7"/>
    </row>
    <row r="282" spans="1:7" x14ac:dyDescent="0.25">
      <c r="A282" s="5"/>
      <c r="B282" s="5"/>
      <c r="C282" s="5"/>
      <c r="E282" s="6"/>
      <c r="F282" s="1"/>
      <c r="G282" s="7"/>
    </row>
    <row r="283" spans="1:7" x14ac:dyDescent="0.25">
      <c r="A283" s="5"/>
      <c r="B283" s="5"/>
      <c r="C283" s="5"/>
      <c r="E283" s="6"/>
      <c r="F283" s="1"/>
      <c r="G283" s="7"/>
    </row>
    <row r="284" spans="1:7" x14ac:dyDescent="0.25">
      <c r="A284" s="5"/>
      <c r="B284" s="5"/>
      <c r="C284" s="5"/>
      <c r="E284" s="6"/>
      <c r="F284" s="1"/>
      <c r="G284" s="7"/>
    </row>
    <row r="285" spans="1:7" x14ac:dyDescent="0.25">
      <c r="A285" s="5"/>
      <c r="B285" s="5"/>
      <c r="C285" s="5"/>
      <c r="E285" s="6"/>
      <c r="F285" s="1"/>
      <c r="G285" s="7"/>
    </row>
    <row r="286" spans="1:7" x14ac:dyDescent="0.25">
      <c r="A286" s="5"/>
      <c r="B286" s="5"/>
      <c r="C286" s="5"/>
      <c r="E286" s="6"/>
      <c r="F286" s="1"/>
      <c r="G286" s="7"/>
    </row>
    <row r="287" spans="1:7" x14ac:dyDescent="0.25">
      <c r="A287" s="5"/>
      <c r="B287" s="5"/>
      <c r="C287" s="5"/>
      <c r="E287" s="6"/>
      <c r="F287" s="1"/>
      <c r="G287" s="7"/>
    </row>
    <row r="288" spans="1:7" x14ac:dyDescent="0.25">
      <c r="A288" s="5"/>
      <c r="B288" s="5"/>
      <c r="C288" s="5"/>
      <c r="E288" s="6"/>
      <c r="F288" s="1"/>
      <c r="G288" s="7"/>
    </row>
    <row r="289" spans="1:7" x14ac:dyDescent="0.25">
      <c r="A289" s="5"/>
      <c r="B289" s="5"/>
      <c r="C289" s="5"/>
      <c r="E289" s="6"/>
      <c r="F289" s="1"/>
      <c r="G289" s="7"/>
    </row>
    <row r="290" spans="1:7" x14ac:dyDescent="0.25">
      <c r="A290" s="5"/>
      <c r="B290" s="5"/>
      <c r="C290" s="5"/>
      <c r="E290" s="6"/>
      <c r="F290" s="1"/>
      <c r="G290" s="7"/>
    </row>
    <row r="291" spans="1:7" x14ac:dyDescent="0.25">
      <c r="A291" s="5"/>
      <c r="B291" s="5"/>
      <c r="C291" s="5"/>
      <c r="E291" s="6"/>
      <c r="F291" s="1"/>
      <c r="G291" s="7"/>
    </row>
    <row r="292" spans="1:7" x14ac:dyDescent="0.25">
      <c r="A292" s="5"/>
      <c r="B292" s="5"/>
      <c r="C292" s="5"/>
      <c r="E292" s="6"/>
      <c r="F292" s="1"/>
      <c r="G292" s="7"/>
    </row>
    <row r="293" spans="1:7" x14ac:dyDescent="0.25">
      <c r="A293" s="5"/>
      <c r="B293" s="5"/>
      <c r="C293" s="5"/>
      <c r="E293" s="6"/>
      <c r="F293" s="1"/>
      <c r="G293" s="7"/>
    </row>
    <row r="294" spans="1:7" x14ac:dyDescent="0.25">
      <c r="A294" s="5"/>
      <c r="B294" s="5"/>
      <c r="C294" s="5"/>
      <c r="E294" s="6"/>
      <c r="F294" s="1"/>
      <c r="G294" s="7"/>
    </row>
    <row r="295" spans="1:7" x14ac:dyDescent="0.25">
      <c r="A295" s="5"/>
      <c r="B295" s="5"/>
      <c r="C295" s="5"/>
      <c r="E295" s="6"/>
      <c r="F295" s="1"/>
      <c r="G295" s="7"/>
    </row>
    <row r="296" spans="1:7" x14ac:dyDescent="0.25">
      <c r="A296" s="5"/>
      <c r="B296" s="5"/>
      <c r="C296" s="5"/>
      <c r="E296" s="6"/>
      <c r="F296" s="1"/>
      <c r="G296" s="7"/>
    </row>
    <row r="297" spans="1:7" x14ac:dyDescent="0.25">
      <c r="A297" s="5"/>
      <c r="B297" s="5"/>
      <c r="C297" s="5"/>
      <c r="E297" s="6"/>
      <c r="F297" s="1"/>
      <c r="G297" s="7"/>
    </row>
    <row r="298" spans="1:7" x14ac:dyDescent="0.25">
      <c r="A298" s="5"/>
      <c r="B298" s="5"/>
      <c r="C298" s="5"/>
      <c r="E298" s="6"/>
      <c r="F298" s="1"/>
      <c r="G298" s="7"/>
    </row>
    <row r="299" spans="1:7" x14ac:dyDescent="0.25">
      <c r="A299" s="5"/>
      <c r="B299" s="5"/>
      <c r="C299" s="5"/>
      <c r="E299" s="6"/>
      <c r="F299" s="1"/>
      <c r="G299" s="7"/>
    </row>
    <row r="300" spans="1:7" x14ac:dyDescent="0.25">
      <c r="A300" s="5"/>
      <c r="B300" s="5"/>
      <c r="C300" s="5"/>
      <c r="E300" s="6"/>
      <c r="F300" s="1"/>
      <c r="G300" s="7"/>
    </row>
    <row r="301" spans="1:7" x14ac:dyDescent="0.25">
      <c r="A301" s="5"/>
      <c r="B301" s="5"/>
      <c r="C301" s="5"/>
      <c r="E301" s="6"/>
      <c r="F301" s="1"/>
      <c r="G301" s="7"/>
    </row>
    <row r="302" spans="1:7" x14ac:dyDescent="0.25">
      <c r="A302" s="5"/>
      <c r="B302" s="5"/>
      <c r="C302" s="5"/>
      <c r="E302" s="6"/>
      <c r="F302" s="1"/>
      <c r="G302" s="7"/>
    </row>
    <row r="303" spans="1:7" x14ac:dyDescent="0.25">
      <c r="A303" s="5"/>
      <c r="B303" s="5"/>
      <c r="C303" s="5"/>
      <c r="E303" s="6"/>
      <c r="F303" s="1"/>
      <c r="G303" s="7"/>
    </row>
    <row r="304" spans="1:7" x14ac:dyDescent="0.25">
      <c r="A304" s="5"/>
      <c r="B304" s="5"/>
      <c r="C304" s="5"/>
      <c r="E304" s="6"/>
      <c r="F304" s="1"/>
      <c r="G304" s="7"/>
    </row>
    <row r="305" spans="1:7" x14ac:dyDescent="0.25">
      <c r="A305" s="5"/>
      <c r="B305" s="5"/>
      <c r="C305" s="5"/>
      <c r="E305" s="6"/>
      <c r="F305" s="1"/>
      <c r="G305" s="7"/>
    </row>
    <row r="306" spans="1:7" x14ac:dyDescent="0.25">
      <c r="A306" s="5"/>
      <c r="B306" s="5"/>
      <c r="C306" s="5"/>
      <c r="E306" s="6"/>
      <c r="F306" s="1"/>
      <c r="G306" s="7"/>
    </row>
    <row r="307" spans="1:7" x14ac:dyDescent="0.25">
      <c r="A307" s="5"/>
      <c r="B307" s="5"/>
      <c r="C307" s="5"/>
      <c r="E307" s="6"/>
      <c r="F307" s="1"/>
      <c r="G307" s="7"/>
    </row>
    <row r="308" spans="1:7" x14ac:dyDescent="0.25">
      <c r="A308" s="5"/>
      <c r="B308" s="5"/>
      <c r="C308" s="5"/>
      <c r="E308" s="6"/>
      <c r="F308" s="1"/>
      <c r="G308" s="7"/>
    </row>
    <row r="309" spans="1:7" x14ac:dyDescent="0.25">
      <c r="A309" s="5"/>
      <c r="B309" s="5"/>
      <c r="C309" s="5"/>
      <c r="E309" s="6"/>
      <c r="F309" s="1"/>
      <c r="G309" s="7"/>
    </row>
    <row r="310" spans="1:7" x14ac:dyDescent="0.25">
      <c r="A310" s="5"/>
      <c r="B310" s="5"/>
      <c r="C310" s="5"/>
      <c r="E310" s="6"/>
      <c r="F310" s="1"/>
      <c r="G310" s="7"/>
    </row>
    <row r="311" spans="1:7" x14ac:dyDescent="0.25">
      <c r="A311" s="5"/>
      <c r="B311" s="5"/>
      <c r="C311" s="5"/>
      <c r="E311" s="6"/>
      <c r="F311" s="1"/>
      <c r="G311" s="7"/>
    </row>
    <row r="312" spans="1:7" x14ac:dyDescent="0.25">
      <c r="A312" s="5"/>
      <c r="B312" s="5"/>
      <c r="C312" s="5"/>
      <c r="E312" s="6"/>
      <c r="F312" s="1"/>
      <c r="G312" s="7"/>
    </row>
    <row r="313" spans="1:7" x14ac:dyDescent="0.25">
      <c r="A313" s="5"/>
      <c r="B313" s="5"/>
      <c r="C313" s="5"/>
      <c r="E313" s="6"/>
      <c r="F313" s="1"/>
      <c r="G313" s="7"/>
    </row>
    <row r="314" spans="1:7" x14ac:dyDescent="0.25">
      <c r="A314" s="5"/>
      <c r="B314" s="5"/>
      <c r="C314" s="5"/>
      <c r="E314" s="6"/>
      <c r="F314" s="1"/>
      <c r="G314" s="7"/>
    </row>
    <row r="315" spans="1:7" x14ac:dyDescent="0.25">
      <c r="A315" s="5"/>
      <c r="B315" s="5"/>
      <c r="C315" s="5"/>
      <c r="E315" s="6"/>
      <c r="F315" s="1"/>
      <c r="G315" s="7"/>
    </row>
    <row r="316" spans="1:7" x14ac:dyDescent="0.25">
      <c r="A316" s="5"/>
      <c r="B316" s="5"/>
      <c r="C316" s="5"/>
      <c r="E316" s="6"/>
      <c r="F316" s="1"/>
      <c r="G316" s="7"/>
    </row>
    <row r="317" spans="1:7" x14ac:dyDescent="0.25">
      <c r="A317" s="5"/>
      <c r="B317" s="5"/>
      <c r="C317" s="5"/>
      <c r="E317" s="6"/>
      <c r="F317" s="1"/>
      <c r="G317" s="7"/>
    </row>
    <row r="318" spans="1:7" x14ac:dyDescent="0.25">
      <c r="A318" s="5"/>
      <c r="B318" s="5"/>
      <c r="C318" s="5"/>
      <c r="E318" s="6"/>
      <c r="F318" s="1"/>
      <c r="G318" s="7"/>
    </row>
    <row r="319" spans="1:7" x14ac:dyDescent="0.25">
      <c r="A319" s="5"/>
      <c r="B319" s="5"/>
      <c r="C319" s="5"/>
      <c r="E319" s="6"/>
      <c r="F319" s="1"/>
      <c r="G319" s="7"/>
    </row>
    <row r="320" spans="1:7" x14ac:dyDescent="0.25">
      <c r="A320" s="5"/>
      <c r="B320" s="5"/>
      <c r="C320" s="5"/>
      <c r="E320" s="6"/>
      <c r="F320" s="1"/>
      <c r="G320" s="7"/>
    </row>
    <row r="321" spans="1:7" x14ac:dyDescent="0.25">
      <c r="A321" s="5"/>
      <c r="B321" s="5"/>
      <c r="C321" s="5"/>
      <c r="E321" s="6"/>
      <c r="F321" s="1"/>
      <c r="G321" s="7"/>
    </row>
    <row r="322" spans="1:7" x14ac:dyDescent="0.25">
      <c r="A322" s="5"/>
      <c r="B322" s="5"/>
      <c r="C322" s="5"/>
      <c r="E322" s="6"/>
      <c r="F322" s="1"/>
      <c r="G322" s="7"/>
    </row>
    <row r="323" spans="1:7" x14ac:dyDescent="0.25">
      <c r="A323" s="5"/>
      <c r="B323" s="5"/>
      <c r="C323" s="5"/>
      <c r="E323" s="6"/>
      <c r="F323" s="1"/>
      <c r="G323" s="7"/>
    </row>
    <row r="324" spans="1:7" x14ac:dyDescent="0.25">
      <c r="A324" s="5"/>
      <c r="B324" s="5"/>
      <c r="C324" s="5"/>
      <c r="E324" s="6"/>
      <c r="F324" s="1"/>
      <c r="G324" s="7"/>
    </row>
    <row r="325" spans="1:7" x14ac:dyDescent="0.25">
      <c r="A325" s="5"/>
      <c r="B325" s="5"/>
      <c r="C325" s="5"/>
      <c r="E325" s="6"/>
      <c r="F325" s="1"/>
      <c r="G325" s="7"/>
    </row>
    <row r="326" spans="1:7" x14ac:dyDescent="0.25">
      <c r="A326" s="5"/>
      <c r="B326" s="5"/>
      <c r="C326" s="5"/>
      <c r="E326" s="6"/>
      <c r="F326" s="1"/>
      <c r="G326" s="7"/>
    </row>
    <row r="327" spans="1:7" x14ac:dyDescent="0.25">
      <c r="A327" s="5"/>
      <c r="B327" s="5"/>
      <c r="C327" s="5"/>
      <c r="E327" s="6"/>
      <c r="F327" s="1"/>
      <c r="G327" s="7"/>
    </row>
    <row r="328" spans="1:7" x14ac:dyDescent="0.25">
      <c r="A328" s="5"/>
      <c r="B328" s="5"/>
      <c r="C328" s="5"/>
      <c r="E328" s="6"/>
      <c r="F328" s="1"/>
      <c r="G328" s="7"/>
    </row>
    <row r="329" spans="1:7" x14ac:dyDescent="0.25">
      <c r="A329" s="5"/>
      <c r="B329" s="5"/>
      <c r="C329" s="5"/>
      <c r="E329" s="6"/>
      <c r="F329" s="1"/>
      <c r="G329" s="7"/>
    </row>
    <row r="330" spans="1:7" x14ac:dyDescent="0.25">
      <c r="A330" s="5"/>
      <c r="B330" s="5"/>
      <c r="C330" s="5"/>
      <c r="E330" s="6"/>
      <c r="F330" s="1"/>
      <c r="G330" s="7"/>
    </row>
    <row r="331" spans="1:7" x14ac:dyDescent="0.25">
      <c r="A331" s="5"/>
      <c r="B331" s="5"/>
      <c r="C331" s="5"/>
      <c r="E331" s="6"/>
      <c r="F331" s="1"/>
      <c r="G331" s="7"/>
    </row>
    <row r="332" spans="1:7" x14ac:dyDescent="0.25">
      <c r="A332" s="5"/>
      <c r="B332" s="5"/>
      <c r="C332" s="5"/>
      <c r="E332" s="6"/>
      <c r="F332" s="1"/>
      <c r="G332" s="7"/>
    </row>
    <row r="333" spans="1:7" x14ac:dyDescent="0.25">
      <c r="A333" s="5"/>
      <c r="B333" s="5"/>
      <c r="C333" s="5"/>
      <c r="E333" s="6"/>
      <c r="F333" s="1"/>
      <c r="G333" s="7"/>
    </row>
    <row r="334" spans="1:7" x14ac:dyDescent="0.25">
      <c r="A334" s="5"/>
      <c r="B334" s="5"/>
      <c r="C334" s="5"/>
      <c r="E334" s="6"/>
      <c r="F334" s="1"/>
      <c r="G334" s="7"/>
    </row>
    <row r="335" spans="1:7" x14ac:dyDescent="0.25">
      <c r="A335" s="5"/>
      <c r="B335" s="5"/>
      <c r="C335" s="5"/>
      <c r="E335" s="6"/>
      <c r="F335" s="1"/>
      <c r="G335" s="7"/>
    </row>
    <row r="336" spans="1:7" x14ac:dyDescent="0.25">
      <c r="A336" s="5"/>
      <c r="B336" s="5"/>
      <c r="C336" s="5"/>
      <c r="E336" s="6"/>
      <c r="F336" s="1"/>
      <c r="G336" s="7"/>
    </row>
    <row r="337" spans="1:7" x14ac:dyDescent="0.25">
      <c r="A337" s="5"/>
      <c r="B337" s="5"/>
      <c r="C337" s="5"/>
      <c r="E337" s="6"/>
      <c r="F337" s="1"/>
      <c r="G337" s="7"/>
    </row>
    <row r="338" spans="1:7" x14ac:dyDescent="0.25">
      <c r="A338" s="5"/>
      <c r="B338" s="5"/>
      <c r="C338" s="5"/>
      <c r="E338" s="6"/>
      <c r="F338" s="1"/>
      <c r="G338" s="7"/>
    </row>
    <row r="339" spans="1:7" x14ac:dyDescent="0.25">
      <c r="A339" s="5"/>
      <c r="B339" s="5"/>
      <c r="C339" s="5"/>
      <c r="E339" s="6"/>
      <c r="F339" s="1"/>
      <c r="G339" s="7"/>
    </row>
    <row r="340" spans="1:7" x14ac:dyDescent="0.25">
      <c r="A340" s="5"/>
      <c r="B340" s="5"/>
      <c r="C340" s="5"/>
      <c r="E340" s="6"/>
      <c r="F340" s="1"/>
      <c r="G340" s="7"/>
    </row>
    <row r="341" spans="1:7" x14ac:dyDescent="0.25">
      <c r="A341" s="5"/>
      <c r="B341" s="5"/>
      <c r="C341" s="5"/>
      <c r="E341" s="6"/>
      <c r="F341" s="1"/>
      <c r="G341" s="7"/>
    </row>
    <row r="342" spans="1:7" x14ac:dyDescent="0.25">
      <c r="A342" s="5"/>
      <c r="B342" s="5"/>
      <c r="C342" s="5"/>
      <c r="E342" s="6"/>
      <c r="F342" s="1"/>
      <c r="G342" s="7"/>
    </row>
    <row r="343" spans="1:7" x14ac:dyDescent="0.25">
      <c r="A343" s="5"/>
      <c r="B343" s="5"/>
      <c r="C343" s="5"/>
      <c r="E343" s="6"/>
      <c r="F343" s="1"/>
      <c r="G343" s="7"/>
    </row>
    <row r="344" spans="1:7" x14ac:dyDescent="0.25">
      <c r="A344" s="5"/>
      <c r="B344" s="5"/>
      <c r="C344" s="5"/>
      <c r="E344" s="6"/>
      <c r="F344" s="1"/>
      <c r="G344" s="7"/>
    </row>
    <row r="345" spans="1:7" x14ac:dyDescent="0.25">
      <c r="A345" s="5"/>
      <c r="B345" s="5"/>
      <c r="C345" s="5"/>
      <c r="E345" s="6"/>
      <c r="F345" s="1"/>
      <c r="G345" s="7"/>
    </row>
    <row r="346" spans="1:7" x14ac:dyDescent="0.25">
      <c r="A346" s="5"/>
      <c r="B346" s="5"/>
      <c r="C346" s="5"/>
      <c r="E346" s="6"/>
      <c r="F346" s="1"/>
      <c r="G346" s="7"/>
    </row>
    <row r="347" spans="1:7" x14ac:dyDescent="0.25">
      <c r="A347" s="5"/>
      <c r="B347" s="5"/>
      <c r="C347" s="5"/>
      <c r="E347" s="6"/>
      <c r="F347" s="1"/>
      <c r="G347" s="7"/>
    </row>
    <row r="348" spans="1:7" x14ac:dyDescent="0.25">
      <c r="A348" s="5"/>
      <c r="B348" s="5"/>
      <c r="C348" s="5"/>
      <c r="E348" s="6"/>
      <c r="F348" s="1"/>
      <c r="G348" s="7"/>
    </row>
    <row r="349" spans="1:7" x14ac:dyDescent="0.25">
      <c r="A349" s="5"/>
      <c r="B349" s="5"/>
      <c r="C349" s="5"/>
      <c r="E349" s="6"/>
      <c r="F349" s="1"/>
      <c r="G349" s="7"/>
    </row>
    <row r="350" spans="1:7" x14ac:dyDescent="0.25">
      <c r="A350" s="5"/>
      <c r="B350" s="5"/>
      <c r="C350" s="5"/>
      <c r="E350" s="6"/>
      <c r="F350" s="1"/>
      <c r="G350" s="7"/>
    </row>
    <row r="351" spans="1:7" x14ac:dyDescent="0.25">
      <c r="A351" s="5"/>
      <c r="B351" s="5"/>
      <c r="C351" s="5"/>
      <c r="E351" s="6"/>
      <c r="F351" s="1"/>
      <c r="G351" s="7"/>
    </row>
    <row r="352" spans="1:7" x14ac:dyDescent="0.25">
      <c r="A352" s="5"/>
      <c r="B352" s="5"/>
      <c r="C352" s="5"/>
      <c r="E352" s="6"/>
      <c r="F352" s="1"/>
      <c r="G352" s="7"/>
    </row>
    <row r="353" spans="1:7" x14ac:dyDescent="0.25">
      <c r="A353" s="5"/>
      <c r="B353" s="5"/>
      <c r="C353" s="5"/>
      <c r="E353" s="6"/>
      <c r="F353" s="1"/>
      <c r="G353" s="7"/>
    </row>
    <row r="354" spans="1:7" x14ac:dyDescent="0.25">
      <c r="A354" s="5"/>
      <c r="B354" s="5"/>
      <c r="C354" s="5"/>
      <c r="E354" s="6"/>
      <c r="F354" s="1"/>
      <c r="G354" s="7"/>
    </row>
    <row r="355" spans="1:7" x14ac:dyDescent="0.25">
      <c r="A355" s="5"/>
      <c r="B355" s="5"/>
      <c r="C355" s="5"/>
      <c r="E355" s="6"/>
      <c r="F355" s="1"/>
      <c r="G355" s="7"/>
    </row>
    <row r="356" spans="1:7" x14ac:dyDescent="0.25">
      <c r="A356" s="5"/>
      <c r="B356" s="5"/>
      <c r="C356" s="5"/>
      <c r="E356" s="6"/>
      <c r="F356" s="1"/>
      <c r="G356" s="7"/>
    </row>
    <row r="357" spans="1:7" x14ac:dyDescent="0.25">
      <c r="A357" s="5"/>
      <c r="B357" s="5"/>
      <c r="C357" s="5"/>
      <c r="E357" s="6"/>
      <c r="F357" s="1"/>
      <c r="G357" s="7"/>
    </row>
    <row r="358" spans="1:7" x14ac:dyDescent="0.25">
      <c r="A358" s="5"/>
      <c r="B358" s="5"/>
      <c r="C358" s="5"/>
      <c r="E358" s="6"/>
      <c r="F358" s="1"/>
      <c r="G358" s="7"/>
    </row>
    <row r="359" spans="1:7" x14ac:dyDescent="0.25">
      <c r="A359" s="5"/>
      <c r="B359" s="5"/>
      <c r="C359" s="5"/>
      <c r="E359" s="6"/>
      <c r="F359" s="1"/>
      <c r="G359" s="7"/>
    </row>
    <row r="360" spans="1:7" x14ac:dyDescent="0.25">
      <c r="A360" s="5"/>
      <c r="B360" s="5"/>
      <c r="C360" s="5"/>
      <c r="E360" s="6"/>
      <c r="F360" s="1"/>
      <c r="G360" s="7"/>
    </row>
    <row r="361" spans="1:7" x14ac:dyDescent="0.25">
      <c r="A361" s="5"/>
      <c r="B361" s="5"/>
      <c r="C361" s="5"/>
      <c r="E361" s="6"/>
      <c r="F361" s="1"/>
      <c r="G361" s="7"/>
    </row>
    <row r="362" spans="1:7" x14ac:dyDescent="0.25">
      <c r="A362" s="5"/>
      <c r="B362" s="5"/>
      <c r="C362" s="5"/>
      <c r="E362" s="6"/>
      <c r="F362" s="1"/>
      <c r="G362" s="7"/>
    </row>
    <row r="363" spans="1:7" x14ac:dyDescent="0.25">
      <c r="A363" s="5"/>
      <c r="B363" s="5"/>
      <c r="C363" s="5"/>
      <c r="E363" s="6"/>
      <c r="F363" s="1"/>
      <c r="G363" s="7"/>
    </row>
    <row r="364" spans="1:7" x14ac:dyDescent="0.25">
      <c r="A364" s="5"/>
      <c r="B364" s="5"/>
      <c r="C364" s="5"/>
      <c r="E364" s="6"/>
      <c r="F364" s="1"/>
      <c r="G364" s="7"/>
    </row>
    <row r="365" spans="1:7" x14ac:dyDescent="0.25">
      <c r="A365" s="5"/>
      <c r="B365" s="5"/>
      <c r="C365" s="5"/>
      <c r="E365" s="6"/>
      <c r="F365" s="1"/>
      <c r="G365" s="7"/>
    </row>
    <row r="366" spans="1:7" x14ac:dyDescent="0.25">
      <c r="A366" s="5"/>
      <c r="B366" s="5"/>
      <c r="C366" s="5"/>
      <c r="E366" s="6"/>
      <c r="F366" s="1"/>
      <c r="G366" s="7"/>
    </row>
    <row r="367" spans="1:7" x14ac:dyDescent="0.25">
      <c r="A367" s="5"/>
      <c r="B367" s="5"/>
      <c r="C367" s="5"/>
      <c r="E367" s="6"/>
      <c r="F367" s="1"/>
      <c r="G367" s="7"/>
    </row>
    <row r="368" spans="1:7" x14ac:dyDescent="0.25">
      <c r="A368" s="5"/>
      <c r="B368" s="5"/>
      <c r="C368" s="5"/>
      <c r="E368" s="6"/>
      <c r="F368" s="1"/>
      <c r="G368" s="7"/>
    </row>
    <row r="369" spans="1:7" x14ac:dyDescent="0.25">
      <c r="A369" s="5"/>
      <c r="B369" s="5"/>
      <c r="C369" s="5"/>
      <c r="E369" s="6"/>
      <c r="F369" s="1"/>
      <c r="G369" s="7"/>
    </row>
    <row r="370" spans="1:7" x14ac:dyDescent="0.25">
      <c r="A370" s="5"/>
      <c r="B370" s="5"/>
      <c r="C370" s="5"/>
      <c r="E370" s="6"/>
      <c r="F370" s="1"/>
      <c r="G370" s="7"/>
    </row>
    <row r="371" spans="1:7" x14ac:dyDescent="0.25">
      <c r="A371" s="5"/>
      <c r="B371" s="5"/>
      <c r="C371" s="5"/>
      <c r="E371" s="6"/>
      <c r="F371" s="1"/>
      <c r="G371" s="7"/>
    </row>
    <row r="372" spans="1:7" x14ac:dyDescent="0.25">
      <c r="A372" s="5"/>
      <c r="B372" s="5"/>
      <c r="C372" s="5"/>
      <c r="E372" s="6"/>
      <c r="F372" s="1"/>
      <c r="G372" s="7"/>
    </row>
    <row r="373" spans="1:7" x14ac:dyDescent="0.25">
      <c r="A373" s="5"/>
      <c r="B373" s="5"/>
      <c r="C373" s="5"/>
      <c r="E373" s="6"/>
      <c r="F373" s="1"/>
      <c r="G373" s="7"/>
    </row>
    <row r="374" spans="1:7" x14ac:dyDescent="0.25">
      <c r="A374" s="5"/>
      <c r="B374" s="5"/>
      <c r="C374" s="5"/>
      <c r="E374" s="6"/>
      <c r="F374" s="1"/>
      <c r="G374" s="7"/>
    </row>
    <row r="375" spans="1:7" x14ac:dyDescent="0.25">
      <c r="A375" s="5"/>
      <c r="B375" s="5"/>
      <c r="C375" s="5"/>
      <c r="E375" s="6"/>
      <c r="F375" s="1"/>
      <c r="G375" s="7"/>
    </row>
    <row r="376" spans="1:7" x14ac:dyDescent="0.25">
      <c r="A376" s="5"/>
      <c r="B376" s="5"/>
      <c r="C376" s="5"/>
      <c r="E376" s="6"/>
      <c r="F376" s="1"/>
      <c r="G376" s="7"/>
    </row>
    <row r="377" spans="1:7" x14ac:dyDescent="0.25">
      <c r="A377" s="5"/>
      <c r="B377" s="5"/>
      <c r="C377" s="5"/>
      <c r="E377" s="6"/>
      <c r="F377" s="1"/>
      <c r="G377" s="7"/>
    </row>
    <row r="378" spans="1:7" x14ac:dyDescent="0.25">
      <c r="A378" s="5"/>
      <c r="B378" s="5"/>
      <c r="C378" s="5"/>
      <c r="E378" s="6"/>
      <c r="F378" s="1"/>
      <c r="G378" s="7"/>
    </row>
    <row r="379" spans="1:7" x14ac:dyDescent="0.25">
      <c r="A379" s="5"/>
      <c r="B379" s="5"/>
      <c r="C379" s="5"/>
      <c r="E379" s="6"/>
      <c r="F379" s="1"/>
      <c r="G379" s="7"/>
    </row>
    <row r="380" spans="1:7" x14ac:dyDescent="0.25">
      <c r="A380" s="5"/>
      <c r="B380" s="5"/>
      <c r="C380" s="5"/>
      <c r="E380" s="6"/>
      <c r="F380" s="1"/>
      <c r="G380" s="7"/>
    </row>
    <row r="381" spans="1:7" x14ac:dyDescent="0.25">
      <c r="A381" s="5"/>
      <c r="B381" s="5"/>
      <c r="C381" s="5"/>
      <c r="E381" s="6"/>
      <c r="F381" s="1"/>
      <c r="G381" s="7"/>
    </row>
    <row r="382" spans="1:7" x14ac:dyDescent="0.25">
      <c r="A382" s="5"/>
      <c r="B382" s="5"/>
      <c r="C382" s="5"/>
      <c r="E382" s="6"/>
      <c r="F382" s="1"/>
      <c r="G382" s="7"/>
    </row>
    <row r="383" spans="1:7" x14ac:dyDescent="0.25">
      <c r="A383" s="5"/>
      <c r="B383" s="5"/>
      <c r="C383" s="5"/>
      <c r="E383" s="6"/>
      <c r="F383" s="1"/>
      <c r="G383" s="7"/>
    </row>
    <row r="384" spans="1:7" x14ac:dyDescent="0.25">
      <c r="A384" s="5"/>
      <c r="B384" s="5"/>
      <c r="C384" s="5"/>
      <c r="E384" s="6"/>
      <c r="F384" s="1"/>
      <c r="G384" s="7"/>
    </row>
    <row r="385" spans="1:7" x14ac:dyDescent="0.25">
      <c r="A385" s="5"/>
      <c r="B385" s="5"/>
      <c r="C385" s="5"/>
      <c r="E385" s="6"/>
      <c r="F385" s="1"/>
      <c r="G385" s="7"/>
    </row>
    <row r="386" spans="1:7" x14ac:dyDescent="0.25">
      <c r="A386" s="5"/>
      <c r="B386" s="5"/>
      <c r="C386" s="5"/>
      <c r="E386" s="6"/>
      <c r="F386" s="1"/>
      <c r="G386" s="7"/>
    </row>
    <row r="387" spans="1:7" x14ac:dyDescent="0.25">
      <c r="A387" s="5"/>
      <c r="B387" s="5"/>
      <c r="C387" s="5"/>
      <c r="E387" s="6"/>
      <c r="F387" s="1"/>
      <c r="G387" s="7"/>
    </row>
    <row r="388" spans="1:7" x14ac:dyDescent="0.25">
      <c r="A388" s="5"/>
      <c r="B388" s="5"/>
      <c r="C388" s="5"/>
      <c r="E388" s="6"/>
      <c r="F388" s="1"/>
      <c r="G388" s="7"/>
    </row>
    <row r="389" spans="1:7" x14ac:dyDescent="0.25">
      <c r="A389" s="5"/>
      <c r="B389" s="5"/>
      <c r="C389" s="5"/>
      <c r="E389" s="6"/>
      <c r="F389" s="1"/>
      <c r="G389" s="7"/>
    </row>
    <row r="390" spans="1:7" x14ac:dyDescent="0.25">
      <c r="A390" s="5"/>
      <c r="B390" s="5"/>
      <c r="C390" s="5"/>
      <c r="E390" s="6"/>
      <c r="F390" s="1"/>
      <c r="G390" s="7"/>
    </row>
    <row r="391" spans="1:7" x14ac:dyDescent="0.25">
      <c r="A391" s="5"/>
      <c r="B391" s="5"/>
      <c r="C391" s="5"/>
      <c r="E391" s="6"/>
      <c r="F391" s="1"/>
      <c r="G391" s="7"/>
    </row>
    <row r="392" spans="1:7" x14ac:dyDescent="0.25">
      <c r="A392" s="5"/>
      <c r="B392" s="5"/>
      <c r="C392" s="5"/>
      <c r="E392" s="6"/>
      <c r="F392" s="1"/>
      <c r="G392" s="7"/>
    </row>
    <row r="393" spans="1:7" x14ac:dyDescent="0.25">
      <c r="A393" s="5"/>
      <c r="B393" s="5"/>
      <c r="C393" s="5"/>
      <c r="E393" s="6"/>
      <c r="F393" s="1"/>
      <c r="G393" s="7"/>
    </row>
    <row r="394" spans="1:7" x14ac:dyDescent="0.25">
      <c r="A394" s="5"/>
      <c r="B394" s="5"/>
      <c r="C394" s="5"/>
      <c r="E394" s="6"/>
      <c r="F394" s="1"/>
      <c r="G394" s="7"/>
    </row>
    <row r="395" spans="1:7" x14ac:dyDescent="0.25">
      <c r="A395" s="5"/>
      <c r="B395" s="5"/>
      <c r="C395" s="5"/>
      <c r="E395" s="6"/>
      <c r="F395" s="1"/>
      <c r="G395" s="7"/>
    </row>
    <row r="396" spans="1:7" x14ac:dyDescent="0.25">
      <c r="A396" s="5"/>
      <c r="B396" s="5"/>
      <c r="C396" s="5"/>
      <c r="E396" s="6"/>
      <c r="F396" s="1"/>
      <c r="G396" s="7"/>
    </row>
    <row r="397" spans="1:7" x14ac:dyDescent="0.25">
      <c r="A397" s="5"/>
      <c r="B397" s="5"/>
      <c r="C397" s="5"/>
      <c r="E397" s="6"/>
      <c r="F397" s="1"/>
      <c r="G397" s="7"/>
    </row>
    <row r="398" spans="1:7" x14ac:dyDescent="0.25">
      <c r="A398" s="5"/>
      <c r="B398" s="5"/>
      <c r="C398" s="5"/>
      <c r="E398" s="6"/>
      <c r="F398" s="1"/>
      <c r="G398" s="7"/>
    </row>
    <row r="399" spans="1:7" x14ac:dyDescent="0.25">
      <c r="A399" s="5"/>
      <c r="B399" s="5"/>
      <c r="C399" s="5"/>
      <c r="E399" s="6"/>
      <c r="F399" s="1"/>
      <c r="G399" s="7"/>
    </row>
    <row r="400" spans="1:7" x14ac:dyDescent="0.25">
      <c r="A400" s="5"/>
      <c r="B400" s="5"/>
      <c r="C400" s="5"/>
      <c r="E400" s="6"/>
      <c r="F400" s="1"/>
      <c r="G400" s="7"/>
    </row>
    <row r="401" spans="1:7" x14ac:dyDescent="0.25">
      <c r="A401" s="5"/>
      <c r="B401" s="5"/>
      <c r="C401" s="5"/>
      <c r="E401" s="6"/>
      <c r="F401" s="1"/>
      <c r="G401" s="7"/>
    </row>
    <row r="402" spans="1:7" x14ac:dyDescent="0.25">
      <c r="A402" s="5"/>
      <c r="B402" s="5"/>
      <c r="C402" s="5"/>
      <c r="E402" s="6"/>
      <c r="F402" s="1"/>
      <c r="G402" s="7"/>
    </row>
    <row r="403" spans="1:7" x14ac:dyDescent="0.25">
      <c r="A403" s="5"/>
      <c r="B403" s="5"/>
      <c r="C403" s="5"/>
      <c r="E403" s="6"/>
      <c r="F403" s="1"/>
      <c r="G403" s="7"/>
    </row>
    <row r="404" spans="1:7" x14ac:dyDescent="0.25">
      <c r="A404" s="5"/>
      <c r="B404" s="5"/>
      <c r="C404" s="5"/>
      <c r="E404" s="6"/>
      <c r="F404" s="1"/>
      <c r="G404" s="7"/>
    </row>
    <row r="405" spans="1:7" x14ac:dyDescent="0.25">
      <c r="A405" s="5"/>
      <c r="B405" s="5"/>
      <c r="C405" s="5"/>
      <c r="E405" s="6"/>
      <c r="F405" s="1"/>
      <c r="G405" s="7"/>
    </row>
    <row r="406" spans="1:7" x14ac:dyDescent="0.25">
      <c r="A406" s="5"/>
      <c r="B406" s="5"/>
      <c r="C406" s="5"/>
      <c r="E406" s="6"/>
      <c r="F406" s="1"/>
      <c r="G406" s="7"/>
    </row>
    <row r="407" spans="1:7" x14ac:dyDescent="0.25">
      <c r="A407" s="5"/>
      <c r="B407" s="5"/>
      <c r="C407" s="5"/>
      <c r="E407" s="6"/>
      <c r="F407" s="1"/>
      <c r="G407" s="7"/>
    </row>
    <row r="408" spans="1:7" x14ac:dyDescent="0.25">
      <c r="A408" s="5"/>
      <c r="B408" s="5"/>
      <c r="C408" s="5"/>
      <c r="E408" s="6"/>
      <c r="F408" s="1"/>
      <c r="G408" s="7"/>
    </row>
    <row r="409" spans="1:7" x14ac:dyDescent="0.25">
      <c r="A409" s="5"/>
      <c r="B409" s="5"/>
      <c r="C409" s="5"/>
      <c r="E409" s="6"/>
      <c r="F409" s="1"/>
      <c r="G409" s="7"/>
    </row>
    <row r="410" spans="1:7" x14ac:dyDescent="0.25">
      <c r="A410" s="5"/>
      <c r="B410" s="5"/>
      <c r="C410" s="5"/>
      <c r="E410" s="6"/>
      <c r="F410" s="1"/>
      <c r="G410" s="7"/>
    </row>
    <row r="411" spans="1:7" x14ac:dyDescent="0.25">
      <c r="A411" s="5"/>
      <c r="B411" s="5"/>
      <c r="C411" s="5"/>
      <c r="E411" s="6"/>
      <c r="F411" s="1"/>
      <c r="G411" s="7"/>
    </row>
    <row r="412" spans="1:7" x14ac:dyDescent="0.25">
      <c r="A412" s="5"/>
      <c r="B412" s="5"/>
      <c r="C412" s="5"/>
      <c r="E412" s="6"/>
      <c r="F412" s="1"/>
      <c r="G412" s="7"/>
    </row>
    <row r="413" spans="1:7" x14ac:dyDescent="0.25">
      <c r="A413" s="5"/>
      <c r="B413" s="5"/>
      <c r="C413" s="5"/>
      <c r="E413" s="6"/>
      <c r="F413" s="1"/>
      <c r="G413" s="7"/>
    </row>
    <row r="414" spans="1:7" x14ac:dyDescent="0.25">
      <c r="A414" s="5"/>
      <c r="B414" s="5"/>
      <c r="C414" s="5"/>
      <c r="E414" s="6"/>
      <c r="F414" s="1"/>
      <c r="G414" s="7"/>
    </row>
    <row r="415" spans="1:7" x14ac:dyDescent="0.25">
      <c r="A415" s="5"/>
      <c r="B415" s="5"/>
      <c r="C415" s="5"/>
      <c r="E415" s="6"/>
      <c r="F415" s="1"/>
      <c r="G415" s="7"/>
    </row>
    <row r="416" spans="1:7" x14ac:dyDescent="0.25">
      <c r="A416" s="5"/>
      <c r="B416" s="5"/>
      <c r="C416" s="5"/>
      <c r="E416" s="6"/>
      <c r="F416" s="1"/>
      <c r="G416" s="7"/>
    </row>
    <row r="417" spans="1:7" x14ac:dyDescent="0.25">
      <c r="A417" s="5"/>
      <c r="B417" s="5"/>
      <c r="C417" s="5"/>
      <c r="E417" s="6"/>
      <c r="F417" s="1"/>
      <c r="G417" s="7"/>
    </row>
    <row r="418" spans="1:7" x14ac:dyDescent="0.25">
      <c r="A418" s="5"/>
      <c r="B418" s="5"/>
      <c r="C418" s="5"/>
      <c r="E418" s="6"/>
      <c r="F418" s="1"/>
      <c r="G418" s="7"/>
    </row>
    <row r="419" spans="1:7" x14ac:dyDescent="0.25">
      <c r="A419" s="5"/>
      <c r="B419" s="5"/>
      <c r="C419" s="5"/>
      <c r="E419" s="6"/>
      <c r="F419" s="1"/>
      <c r="G419" s="7"/>
    </row>
    <row r="420" spans="1:7" x14ac:dyDescent="0.25">
      <c r="A420" s="5"/>
      <c r="B420" s="5"/>
      <c r="C420" s="5"/>
      <c r="E420" s="6"/>
      <c r="F420" s="1"/>
      <c r="G420" s="7"/>
    </row>
    <row r="421" spans="1:7" x14ac:dyDescent="0.25">
      <c r="A421" s="5"/>
      <c r="B421" s="5"/>
      <c r="C421" s="5"/>
      <c r="E421" s="6"/>
      <c r="F421" s="1"/>
      <c r="G421" s="7"/>
    </row>
    <row r="422" spans="1:7" x14ac:dyDescent="0.25">
      <c r="A422" s="5"/>
      <c r="B422" s="5"/>
      <c r="C422" s="5"/>
      <c r="E422" s="6"/>
      <c r="F422" s="1"/>
      <c r="G422" s="7"/>
    </row>
    <row r="423" spans="1:7" x14ac:dyDescent="0.25">
      <c r="A423" s="5"/>
      <c r="B423" s="5"/>
      <c r="C423" s="5"/>
      <c r="E423" s="6"/>
      <c r="F423" s="1"/>
      <c r="G423" s="7"/>
    </row>
    <row r="424" spans="1:7" x14ac:dyDescent="0.25">
      <c r="A424" s="5"/>
      <c r="B424" s="5"/>
      <c r="C424" s="5"/>
      <c r="E424" s="6"/>
      <c r="F424" s="1"/>
      <c r="G424" s="7"/>
    </row>
    <row r="425" spans="1:7" x14ac:dyDescent="0.25">
      <c r="A425" s="5"/>
      <c r="B425" s="5"/>
      <c r="C425" s="5"/>
      <c r="E425" s="6"/>
      <c r="F425" s="1"/>
      <c r="G425" s="7"/>
    </row>
    <row r="426" spans="1:7" x14ac:dyDescent="0.25">
      <c r="A426" s="5"/>
      <c r="B426" s="5"/>
      <c r="C426" s="5"/>
      <c r="E426" s="6"/>
      <c r="F426" s="1"/>
      <c r="G426" s="7"/>
    </row>
    <row r="427" spans="1:7" x14ac:dyDescent="0.25">
      <c r="A427" s="5"/>
      <c r="B427" s="5"/>
      <c r="C427" s="5"/>
      <c r="E427" s="6"/>
      <c r="F427" s="1"/>
      <c r="G427" s="7"/>
    </row>
    <row r="428" spans="1:7" x14ac:dyDescent="0.25">
      <c r="A428" s="5"/>
      <c r="B428" s="5"/>
      <c r="C428" s="5"/>
      <c r="E428" s="6"/>
      <c r="F428" s="1"/>
      <c r="G428" s="7"/>
    </row>
    <row r="429" spans="1:7" x14ac:dyDescent="0.25">
      <c r="A429" s="5"/>
      <c r="B429" s="5"/>
      <c r="C429" s="5"/>
      <c r="E429" s="6"/>
      <c r="F429" s="1"/>
      <c r="G429" s="7"/>
    </row>
    <row r="430" spans="1:7" x14ac:dyDescent="0.25">
      <c r="A430" s="5"/>
      <c r="B430" s="5"/>
      <c r="C430" s="5"/>
      <c r="E430" s="6"/>
      <c r="F430" s="1"/>
      <c r="G430" s="7"/>
    </row>
    <row r="431" spans="1:7" x14ac:dyDescent="0.25">
      <c r="A431" s="5"/>
      <c r="B431" s="5"/>
      <c r="C431" s="5"/>
      <c r="E431" s="6"/>
      <c r="F431" s="1"/>
      <c r="G431" s="7"/>
    </row>
    <row r="432" spans="1:7" x14ac:dyDescent="0.25">
      <c r="A432" s="5"/>
      <c r="B432" s="5"/>
      <c r="C432" s="5"/>
      <c r="E432" s="6"/>
      <c r="F432" s="1"/>
      <c r="G432" s="7"/>
    </row>
    <row r="433" spans="1:7" x14ac:dyDescent="0.25">
      <c r="A433" s="5"/>
      <c r="B433" s="5"/>
      <c r="C433" s="5"/>
      <c r="E433" s="6"/>
      <c r="F433" s="1"/>
      <c r="G433" s="7"/>
    </row>
    <row r="434" spans="1:7" x14ac:dyDescent="0.25">
      <c r="A434" s="5"/>
      <c r="B434" s="5"/>
      <c r="C434" s="5"/>
      <c r="E434" s="6"/>
      <c r="F434" s="1"/>
      <c r="G434" s="7"/>
    </row>
    <row r="435" spans="1:7" x14ac:dyDescent="0.25">
      <c r="A435" s="5"/>
      <c r="B435" s="5"/>
      <c r="C435" s="5"/>
      <c r="E435" s="6"/>
      <c r="F435" s="1"/>
      <c r="G435" s="7"/>
    </row>
    <row r="436" spans="1:7" x14ac:dyDescent="0.25">
      <c r="A436" s="5"/>
      <c r="B436" s="5"/>
      <c r="C436" s="5"/>
      <c r="E436" s="6"/>
      <c r="F436" s="1"/>
      <c r="G436" s="7"/>
    </row>
    <row r="437" spans="1:7" x14ac:dyDescent="0.25">
      <c r="A437" s="5"/>
      <c r="B437" s="5"/>
      <c r="C437" s="5"/>
      <c r="E437" s="6"/>
      <c r="F437" s="1"/>
      <c r="G437" s="7"/>
    </row>
    <row r="438" spans="1:7" x14ac:dyDescent="0.25">
      <c r="A438" s="5"/>
      <c r="B438" s="5"/>
      <c r="C438" s="5"/>
      <c r="E438" s="6"/>
      <c r="F438" s="1"/>
      <c r="G438" s="7"/>
    </row>
    <row r="439" spans="1:7" x14ac:dyDescent="0.25">
      <c r="A439" s="5"/>
      <c r="B439" s="5"/>
      <c r="C439" s="5"/>
      <c r="E439" s="6"/>
      <c r="F439" s="1"/>
      <c r="G439" s="7"/>
    </row>
    <row r="440" spans="1:7" x14ac:dyDescent="0.25">
      <c r="A440" s="5"/>
      <c r="B440" s="5"/>
      <c r="C440" s="5"/>
      <c r="E440" s="6"/>
      <c r="F440" s="1"/>
      <c r="G440" s="7"/>
    </row>
    <row r="441" spans="1:7" x14ac:dyDescent="0.25">
      <c r="A441" s="5"/>
      <c r="B441" s="5"/>
      <c r="C441" s="5"/>
      <c r="E441" s="6"/>
      <c r="F441" s="1"/>
      <c r="G441" s="7"/>
    </row>
    <row r="442" spans="1:7" x14ac:dyDescent="0.25">
      <c r="A442" s="5"/>
      <c r="B442" s="5"/>
      <c r="C442" s="5"/>
      <c r="E442" s="6"/>
      <c r="F442" s="1"/>
      <c r="G442" s="7"/>
    </row>
    <row r="443" spans="1:7" x14ac:dyDescent="0.25">
      <c r="A443" s="5"/>
      <c r="B443" s="5"/>
      <c r="C443" s="5"/>
      <c r="E443" s="6"/>
      <c r="F443" s="1"/>
      <c r="G443" s="7"/>
    </row>
    <row r="444" spans="1:7" x14ac:dyDescent="0.25">
      <c r="A444" s="5"/>
      <c r="B444" s="5"/>
      <c r="C444" s="5"/>
      <c r="E444" s="6"/>
      <c r="F444" s="1"/>
      <c r="G444" s="7"/>
    </row>
    <row r="445" spans="1:7" x14ac:dyDescent="0.25">
      <c r="A445" s="5"/>
      <c r="B445" s="5"/>
      <c r="C445" s="5"/>
      <c r="E445" s="6"/>
      <c r="F445" s="1"/>
      <c r="G445" s="7"/>
    </row>
    <row r="446" spans="1:7" x14ac:dyDescent="0.25">
      <c r="A446" s="5"/>
      <c r="B446" s="5"/>
      <c r="C446" s="5"/>
      <c r="E446" s="6"/>
      <c r="F446" s="1"/>
      <c r="G446" s="7"/>
    </row>
    <row r="447" spans="1:7" x14ac:dyDescent="0.25">
      <c r="A447" s="5"/>
      <c r="B447" s="5"/>
      <c r="C447" s="5"/>
      <c r="E447" s="6"/>
      <c r="F447" s="1"/>
      <c r="G447" s="7"/>
    </row>
    <row r="448" spans="1:7" x14ac:dyDescent="0.25">
      <c r="A448" s="5"/>
      <c r="B448" s="5"/>
      <c r="C448" s="5"/>
      <c r="E448" s="6"/>
      <c r="F448" s="1"/>
      <c r="G448" s="7"/>
    </row>
    <row r="449" spans="1:7" x14ac:dyDescent="0.25">
      <c r="A449" s="5"/>
      <c r="B449" s="5"/>
      <c r="C449" s="5"/>
      <c r="E449" s="6"/>
      <c r="F449" s="1"/>
      <c r="G449" s="7"/>
    </row>
    <row r="450" spans="1:7" x14ac:dyDescent="0.25">
      <c r="A450" s="5"/>
      <c r="B450" s="5"/>
      <c r="C450" s="5"/>
      <c r="E450" s="6"/>
      <c r="F450" s="1"/>
      <c r="G450" s="7"/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8FC46-31B6-4F65-8292-3CCCAD506AF0}">
  <dimension ref="A1:L245"/>
  <sheetViews>
    <sheetView topLeftCell="A2" workbookViewId="0">
      <selection activeCell="E14" sqref="E14"/>
    </sheetView>
  </sheetViews>
  <sheetFormatPr defaultRowHeight="15" x14ac:dyDescent="0.25"/>
  <cols>
    <col min="1" max="1" width="10.42578125" bestFit="1" customWidth="1"/>
    <col min="2" max="2" width="8.7109375" bestFit="1" customWidth="1"/>
    <col min="3" max="3" width="7.140625" bestFit="1" customWidth="1"/>
    <col min="4" max="4" width="14.42578125" bestFit="1" customWidth="1"/>
    <col min="5" max="5" width="54.28515625" bestFit="1" customWidth="1"/>
    <col min="6" max="6" width="13.5703125" bestFit="1" customWidth="1"/>
    <col min="7" max="7" width="14.140625" bestFit="1" customWidth="1"/>
    <col min="8" max="8" width="15.85546875" bestFit="1" customWidth="1"/>
    <col min="9" max="9" width="11.140625" bestFit="1" customWidth="1"/>
    <col min="10" max="10" width="13.28515625" bestFit="1" customWidth="1"/>
    <col min="11" max="11" width="18.140625" bestFit="1" customWidth="1"/>
    <col min="12" max="12" width="19.85546875" bestFit="1" customWidth="1"/>
  </cols>
  <sheetData>
    <row r="1" spans="1:12" x14ac:dyDescent="0.25">
      <c r="A1" s="12" t="s">
        <v>0</v>
      </c>
      <c r="B1" s="13" t="s">
        <v>381</v>
      </c>
      <c r="C1" s="13" t="s">
        <v>3</v>
      </c>
      <c r="D1" s="13" t="s">
        <v>374</v>
      </c>
      <c r="E1" s="13" t="s">
        <v>373</v>
      </c>
      <c r="F1" s="13" t="s">
        <v>382</v>
      </c>
      <c r="G1" s="13" t="s">
        <v>362</v>
      </c>
      <c r="H1" s="13" t="s">
        <v>1</v>
      </c>
      <c r="I1" s="13" t="s">
        <v>2</v>
      </c>
      <c r="J1" s="14" t="s">
        <v>672</v>
      </c>
      <c r="K1" s="13" t="s">
        <v>676</v>
      </c>
      <c r="L1" s="13" t="s">
        <v>677</v>
      </c>
    </row>
    <row r="2" spans="1:12" x14ac:dyDescent="0.25">
      <c r="A2" s="15" t="s">
        <v>383</v>
      </c>
      <c r="B2" s="16" t="s">
        <v>384</v>
      </c>
      <c r="C2" s="16" t="s">
        <v>385</v>
      </c>
      <c r="D2" s="16" t="s">
        <v>386</v>
      </c>
      <c r="E2" s="16" t="s">
        <v>377</v>
      </c>
      <c r="F2" s="16" t="s">
        <v>387</v>
      </c>
      <c r="G2" s="29">
        <v>3000</v>
      </c>
      <c r="H2" s="20">
        <v>3</v>
      </c>
      <c r="I2" s="22">
        <v>46186</v>
      </c>
      <c r="J2" s="24">
        <f>Estoque[[#This Row],[Qtd Estoque]]*Estoque[[#This Row],[Valor Unitário]]</f>
        <v>9000</v>
      </c>
      <c r="K2" s="34">
        <f ca="1">Estoque[[#This Row],[Validade]]-TODAY()</f>
        <v>76</v>
      </c>
      <c r="L2" s="17" t="str">
        <f ca="1">IF(Estoque[[#This Row],[Dias para Vencer]]&lt;0,"Vencido",IF(Estoque[[#This Row],[Dias para Vencer]] &lt;=30, "Risco de Vencimento","OK"))</f>
        <v>OK</v>
      </c>
    </row>
    <row r="3" spans="1:12" x14ac:dyDescent="0.25">
      <c r="A3" s="15" t="s">
        <v>388</v>
      </c>
      <c r="B3" s="16" t="s">
        <v>389</v>
      </c>
      <c r="C3" s="16" t="s">
        <v>390</v>
      </c>
      <c r="D3" s="16" t="s">
        <v>391</v>
      </c>
      <c r="E3" s="16" t="s">
        <v>370</v>
      </c>
      <c r="F3" s="16" t="s">
        <v>392</v>
      </c>
      <c r="G3" s="29">
        <v>5557</v>
      </c>
      <c r="H3" s="20">
        <v>9.24</v>
      </c>
      <c r="I3" s="22">
        <v>45659</v>
      </c>
      <c r="J3" s="24">
        <f>Estoque[[#This Row],[Qtd Estoque]]*Estoque[[#This Row],[Valor Unitário]]</f>
        <v>51346.68</v>
      </c>
      <c r="K3" s="34">
        <f ca="1">Estoque[[#This Row],[Validade]]-TODAY()</f>
        <v>-451</v>
      </c>
      <c r="L3" s="17" t="str">
        <f ca="1">IF(Estoque[[#This Row],[Dias para Vencer]]&lt;0,"Vencido",IF(Estoque[[#This Row],[Dias para Vencer]] &lt;=30, "Risco de Vencimento","OK"))</f>
        <v>Vencido</v>
      </c>
    </row>
    <row r="4" spans="1:12" x14ac:dyDescent="0.25">
      <c r="A4" s="15" t="s">
        <v>393</v>
      </c>
      <c r="B4" s="16" t="s">
        <v>394</v>
      </c>
      <c r="C4" s="16" t="s">
        <v>395</v>
      </c>
      <c r="D4" s="16" t="s">
        <v>386</v>
      </c>
      <c r="E4" s="16" t="s">
        <v>371</v>
      </c>
      <c r="F4" s="16" t="s">
        <v>396</v>
      </c>
      <c r="G4" s="29">
        <v>1184</v>
      </c>
      <c r="H4" s="20">
        <v>2.48</v>
      </c>
      <c r="I4" s="22">
        <v>46245</v>
      </c>
      <c r="J4" s="24">
        <f>Estoque[[#This Row],[Qtd Estoque]]*Estoque[[#This Row],[Valor Unitário]]</f>
        <v>2936.32</v>
      </c>
      <c r="K4" s="34">
        <f ca="1">Estoque[[#This Row],[Validade]]-TODAY()</f>
        <v>135</v>
      </c>
      <c r="L4" s="17" t="str">
        <f ca="1">IF(Estoque[[#This Row],[Dias para Vencer]]&lt;0,"Vencido",IF(Estoque[[#This Row],[Dias para Vencer]] &lt;=30, "Risco de Vencimento","OK"))</f>
        <v>OK</v>
      </c>
    </row>
    <row r="5" spans="1:12" x14ac:dyDescent="0.25">
      <c r="A5" s="15" t="s">
        <v>397</v>
      </c>
      <c r="B5" s="16" t="s">
        <v>394</v>
      </c>
      <c r="C5" s="16" t="s">
        <v>398</v>
      </c>
      <c r="D5" s="16" t="s">
        <v>399</v>
      </c>
      <c r="E5" s="16" t="s">
        <v>363</v>
      </c>
      <c r="F5" s="16" t="s">
        <v>400</v>
      </c>
      <c r="G5" s="29">
        <v>5974</v>
      </c>
      <c r="H5" s="20">
        <v>9.02</v>
      </c>
      <c r="I5" s="22">
        <v>45649</v>
      </c>
      <c r="J5" s="24">
        <f>Estoque[[#This Row],[Qtd Estoque]]*Estoque[[#This Row],[Valor Unitário]]</f>
        <v>53885.479999999996</v>
      </c>
      <c r="K5" s="34">
        <f ca="1">Estoque[[#This Row],[Validade]]-TODAY()</f>
        <v>-461</v>
      </c>
      <c r="L5" s="17" t="str">
        <f ca="1">IF(Estoque[[#This Row],[Dias para Vencer]]&lt;0,"Vencido",IF(Estoque[[#This Row],[Dias para Vencer]] &lt;=30, "Risco de Vencimento","OK"))</f>
        <v>Vencido</v>
      </c>
    </row>
    <row r="6" spans="1:12" x14ac:dyDescent="0.25">
      <c r="A6" s="15" t="s">
        <v>393</v>
      </c>
      <c r="B6" s="16" t="s">
        <v>401</v>
      </c>
      <c r="C6" s="16" t="s">
        <v>402</v>
      </c>
      <c r="D6" s="16" t="s">
        <v>386</v>
      </c>
      <c r="E6" s="16" t="s">
        <v>371</v>
      </c>
      <c r="F6" s="16" t="s">
        <v>396</v>
      </c>
      <c r="G6" s="29">
        <v>3014</v>
      </c>
      <c r="H6" s="20">
        <v>3.16</v>
      </c>
      <c r="I6" s="22">
        <v>46425</v>
      </c>
      <c r="J6" s="24">
        <f>Estoque[[#This Row],[Qtd Estoque]]*Estoque[[#This Row],[Valor Unitário]]</f>
        <v>9524.24</v>
      </c>
      <c r="K6" s="34">
        <f ca="1">Estoque[[#This Row],[Validade]]-TODAY()</f>
        <v>315</v>
      </c>
      <c r="L6" s="17" t="str">
        <f ca="1">IF(Estoque[[#This Row],[Dias para Vencer]]&lt;0,"Vencido",IF(Estoque[[#This Row],[Dias para Vencer]] &lt;=30, "Risco de Vencimento","OK"))</f>
        <v>OK</v>
      </c>
    </row>
    <row r="7" spans="1:12" x14ac:dyDescent="0.25">
      <c r="A7" s="15" t="s">
        <v>393</v>
      </c>
      <c r="B7" s="16" t="s">
        <v>403</v>
      </c>
      <c r="C7" s="16" t="s">
        <v>404</v>
      </c>
      <c r="D7" s="16" t="s">
        <v>386</v>
      </c>
      <c r="E7" s="16" t="s">
        <v>372</v>
      </c>
      <c r="F7" s="16" t="s">
        <v>405</v>
      </c>
      <c r="G7" s="29">
        <v>5172</v>
      </c>
      <c r="H7" s="20">
        <v>7.41</v>
      </c>
      <c r="I7" s="22">
        <v>46657</v>
      </c>
      <c r="J7" s="24">
        <f>Estoque[[#This Row],[Qtd Estoque]]*Estoque[[#This Row],[Valor Unitário]]</f>
        <v>38324.520000000004</v>
      </c>
      <c r="K7" s="34">
        <f ca="1">Estoque[[#This Row],[Validade]]-TODAY()</f>
        <v>547</v>
      </c>
      <c r="L7" s="17" t="str">
        <f ca="1">IF(Estoque[[#This Row],[Dias para Vencer]]&lt;0,"Vencido",IF(Estoque[[#This Row],[Dias para Vencer]] &lt;=30, "Risco de Vencimento","OK"))</f>
        <v>OK</v>
      </c>
    </row>
    <row r="8" spans="1:12" x14ac:dyDescent="0.25">
      <c r="A8" s="15" t="s">
        <v>406</v>
      </c>
      <c r="B8" s="16" t="s">
        <v>394</v>
      </c>
      <c r="C8" s="16" t="s">
        <v>407</v>
      </c>
      <c r="D8" s="16" t="s">
        <v>399</v>
      </c>
      <c r="E8" s="16" t="s">
        <v>364</v>
      </c>
      <c r="F8" s="16" t="s">
        <v>408</v>
      </c>
      <c r="G8" s="29">
        <v>9616</v>
      </c>
      <c r="H8" s="20">
        <v>7.42</v>
      </c>
      <c r="I8" s="22">
        <v>46089</v>
      </c>
      <c r="J8" s="24">
        <f>Estoque[[#This Row],[Qtd Estoque]]*Estoque[[#This Row],[Valor Unitário]]</f>
        <v>71350.720000000001</v>
      </c>
      <c r="K8" s="34">
        <f ca="1">Estoque[[#This Row],[Validade]]-TODAY()</f>
        <v>-21</v>
      </c>
      <c r="L8" s="17" t="str">
        <f ca="1">IF(Estoque[[#This Row],[Dias para Vencer]]&lt;0,"Vencido",IF(Estoque[[#This Row],[Dias para Vencer]] &lt;=30, "Risco de Vencimento","OK"))</f>
        <v>Vencido</v>
      </c>
    </row>
    <row r="9" spans="1:12" x14ac:dyDescent="0.25">
      <c r="A9" s="15" t="s">
        <v>406</v>
      </c>
      <c r="B9" s="16" t="s">
        <v>401</v>
      </c>
      <c r="C9" s="16" t="s">
        <v>409</v>
      </c>
      <c r="D9" s="16" t="s">
        <v>386</v>
      </c>
      <c r="E9" s="16" t="s">
        <v>372</v>
      </c>
      <c r="F9" s="16" t="s">
        <v>405</v>
      </c>
      <c r="G9" s="29">
        <v>6623</v>
      </c>
      <c r="H9" s="20">
        <v>9.24</v>
      </c>
      <c r="I9" s="22">
        <v>46216</v>
      </c>
      <c r="J9" s="24">
        <f>Estoque[[#This Row],[Qtd Estoque]]*Estoque[[#This Row],[Valor Unitário]]</f>
        <v>61196.520000000004</v>
      </c>
      <c r="K9" s="34">
        <f ca="1">Estoque[[#This Row],[Validade]]-TODAY()</f>
        <v>106</v>
      </c>
      <c r="L9" s="17" t="str">
        <f ca="1">IF(Estoque[[#This Row],[Dias para Vencer]]&lt;0,"Vencido",IF(Estoque[[#This Row],[Dias para Vencer]] &lt;=30, "Risco de Vencimento","OK"))</f>
        <v>OK</v>
      </c>
    </row>
    <row r="10" spans="1:12" x14ac:dyDescent="0.25">
      <c r="A10" s="15" t="s">
        <v>410</v>
      </c>
      <c r="B10" s="16" t="s">
        <v>411</v>
      </c>
      <c r="C10" s="16" t="s">
        <v>412</v>
      </c>
      <c r="D10" s="16" t="s">
        <v>399</v>
      </c>
      <c r="E10" s="16" t="s">
        <v>364</v>
      </c>
      <c r="F10" s="16" t="s">
        <v>408</v>
      </c>
      <c r="G10" s="29">
        <v>6709</v>
      </c>
      <c r="H10" s="20">
        <v>5.86</v>
      </c>
      <c r="I10" s="22">
        <v>45698</v>
      </c>
      <c r="J10" s="24">
        <f>Estoque[[#This Row],[Qtd Estoque]]*Estoque[[#This Row],[Valor Unitário]]</f>
        <v>39314.740000000005</v>
      </c>
      <c r="K10" s="34">
        <f ca="1">Estoque[[#This Row],[Validade]]-TODAY()</f>
        <v>-412</v>
      </c>
      <c r="L10" s="17" t="str">
        <f ca="1">IF(Estoque[[#This Row],[Dias para Vencer]]&lt;0,"Vencido",IF(Estoque[[#This Row],[Dias para Vencer]] &lt;=30, "Risco de Vencimento","OK"))</f>
        <v>Vencido</v>
      </c>
    </row>
    <row r="11" spans="1:12" x14ac:dyDescent="0.25">
      <c r="A11" s="15" t="s">
        <v>397</v>
      </c>
      <c r="B11" s="16" t="s">
        <v>411</v>
      </c>
      <c r="C11" s="16" t="s">
        <v>413</v>
      </c>
      <c r="D11" s="16" t="s">
        <v>399</v>
      </c>
      <c r="E11" s="16" t="s">
        <v>365</v>
      </c>
      <c r="F11" s="16" t="s">
        <v>414</v>
      </c>
      <c r="G11" s="29">
        <v>6859</v>
      </c>
      <c r="H11" s="20">
        <v>2.0299999999999998</v>
      </c>
      <c r="I11" s="22">
        <v>46260</v>
      </c>
      <c r="J11" s="24">
        <f>Estoque[[#This Row],[Qtd Estoque]]*Estoque[[#This Row],[Valor Unitário]]</f>
        <v>13923.769999999999</v>
      </c>
      <c r="K11" s="34">
        <f ca="1">Estoque[[#This Row],[Validade]]-TODAY()</f>
        <v>150</v>
      </c>
      <c r="L11" s="17" t="str">
        <f ca="1">IF(Estoque[[#This Row],[Dias para Vencer]]&lt;0,"Vencido",IF(Estoque[[#This Row],[Dias para Vencer]] &lt;=30, "Risco de Vencimento","OK"))</f>
        <v>OK</v>
      </c>
    </row>
    <row r="12" spans="1:12" x14ac:dyDescent="0.25">
      <c r="A12" s="15" t="s">
        <v>415</v>
      </c>
      <c r="B12" s="16" t="s">
        <v>411</v>
      </c>
      <c r="C12" s="16" t="s">
        <v>416</v>
      </c>
      <c r="D12" s="16" t="s">
        <v>399</v>
      </c>
      <c r="E12" s="16" t="s">
        <v>366</v>
      </c>
      <c r="F12" s="16" t="s">
        <v>417</v>
      </c>
      <c r="G12" s="29">
        <v>5076</v>
      </c>
      <c r="H12" s="20">
        <v>3.96</v>
      </c>
      <c r="I12" s="22">
        <v>45627</v>
      </c>
      <c r="J12" s="24">
        <f>Estoque[[#This Row],[Qtd Estoque]]*Estoque[[#This Row],[Valor Unitário]]</f>
        <v>20100.96</v>
      </c>
      <c r="K12" s="34">
        <f ca="1">Estoque[[#This Row],[Validade]]-TODAY()</f>
        <v>-483</v>
      </c>
      <c r="L12" s="17" t="str">
        <f ca="1">IF(Estoque[[#This Row],[Dias para Vencer]]&lt;0,"Vencido",IF(Estoque[[#This Row],[Dias para Vencer]] &lt;=30, "Risco de Vencimento","OK"))</f>
        <v>Vencido</v>
      </c>
    </row>
    <row r="13" spans="1:12" x14ac:dyDescent="0.25">
      <c r="A13" s="15" t="s">
        <v>393</v>
      </c>
      <c r="B13" s="16" t="s">
        <v>418</v>
      </c>
      <c r="C13" s="16" t="s">
        <v>419</v>
      </c>
      <c r="D13" s="16" t="s">
        <v>386</v>
      </c>
      <c r="E13" s="16" t="s">
        <v>372</v>
      </c>
      <c r="F13" s="16" t="s">
        <v>405</v>
      </c>
      <c r="G13" s="29">
        <v>7545</v>
      </c>
      <c r="H13" s="20">
        <v>3.68</v>
      </c>
      <c r="I13" s="22">
        <v>45360</v>
      </c>
      <c r="J13" s="24">
        <f>Estoque[[#This Row],[Qtd Estoque]]*Estoque[[#This Row],[Valor Unitário]]</f>
        <v>27765.600000000002</v>
      </c>
      <c r="K13" s="34">
        <f ca="1">Estoque[[#This Row],[Validade]]-TODAY()</f>
        <v>-750</v>
      </c>
      <c r="L13" s="17" t="str">
        <f ca="1">IF(Estoque[[#This Row],[Dias para Vencer]]&lt;0,"Vencido",IF(Estoque[[#This Row],[Dias para Vencer]] &lt;=30, "Risco de Vencimento","OK"))</f>
        <v>Vencido</v>
      </c>
    </row>
    <row r="14" spans="1:12" x14ac:dyDescent="0.25">
      <c r="A14" s="15" t="s">
        <v>388</v>
      </c>
      <c r="B14" s="16" t="s">
        <v>411</v>
      </c>
      <c r="C14" s="16" t="s">
        <v>420</v>
      </c>
      <c r="D14" s="16" t="s">
        <v>399</v>
      </c>
      <c r="E14" s="16" t="s">
        <v>366</v>
      </c>
      <c r="F14" s="16" t="s">
        <v>417</v>
      </c>
      <c r="G14" s="29">
        <v>7034</v>
      </c>
      <c r="H14" s="20">
        <v>4.6500000000000004</v>
      </c>
      <c r="I14" s="22">
        <v>46654</v>
      </c>
      <c r="J14" s="24">
        <f>Estoque[[#This Row],[Qtd Estoque]]*Estoque[[#This Row],[Valor Unitário]]</f>
        <v>32708.100000000002</v>
      </c>
      <c r="K14" s="34">
        <f ca="1">Estoque[[#This Row],[Validade]]-TODAY()</f>
        <v>544</v>
      </c>
      <c r="L14" s="17" t="str">
        <f ca="1">IF(Estoque[[#This Row],[Dias para Vencer]]&lt;0,"Vencido",IF(Estoque[[#This Row],[Dias para Vencer]] &lt;=30, "Risco de Vencimento","OK"))</f>
        <v>OK</v>
      </c>
    </row>
    <row r="15" spans="1:12" x14ac:dyDescent="0.25">
      <c r="A15" s="15" t="s">
        <v>421</v>
      </c>
      <c r="B15" s="16" t="s">
        <v>411</v>
      </c>
      <c r="C15" s="16" t="s">
        <v>422</v>
      </c>
      <c r="D15" s="16" t="s">
        <v>386</v>
      </c>
      <c r="E15" s="16" t="s">
        <v>372</v>
      </c>
      <c r="F15" s="16" t="s">
        <v>405</v>
      </c>
      <c r="G15" s="29">
        <v>9036</v>
      </c>
      <c r="H15" s="20">
        <v>4.95</v>
      </c>
      <c r="I15" s="22">
        <v>45453</v>
      </c>
      <c r="J15" s="24">
        <f>Estoque[[#This Row],[Qtd Estoque]]*Estoque[[#This Row],[Valor Unitário]]</f>
        <v>44728.200000000004</v>
      </c>
      <c r="K15" s="34">
        <f ca="1">Estoque[[#This Row],[Validade]]-TODAY()</f>
        <v>-657</v>
      </c>
      <c r="L15" s="17" t="str">
        <f ca="1">IF(Estoque[[#This Row],[Dias para Vencer]]&lt;0,"Vencido",IF(Estoque[[#This Row],[Dias para Vencer]] &lt;=30, "Risco de Vencimento","OK"))</f>
        <v>Vencido</v>
      </c>
    </row>
    <row r="16" spans="1:12" x14ac:dyDescent="0.25">
      <c r="A16" s="15" t="s">
        <v>423</v>
      </c>
      <c r="B16" s="16" t="s">
        <v>394</v>
      </c>
      <c r="C16" s="16" t="s">
        <v>424</v>
      </c>
      <c r="D16" s="16" t="s">
        <v>391</v>
      </c>
      <c r="E16" s="16" t="s">
        <v>370</v>
      </c>
      <c r="F16" s="16" t="s">
        <v>392</v>
      </c>
      <c r="G16" s="29">
        <v>3968</v>
      </c>
      <c r="H16" s="20">
        <v>6.84</v>
      </c>
      <c r="I16" s="22">
        <v>46465</v>
      </c>
      <c r="J16" s="24">
        <f>Estoque[[#This Row],[Qtd Estoque]]*Estoque[[#This Row],[Valor Unitário]]</f>
        <v>27141.119999999999</v>
      </c>
      <c r="K16" s="34">
        <f ca="1">Estoque[[#This Row],[Validade]]-TODAY()</f>
        <v>355</v>
      </c>
      <c r="L16" s="17" t="str">
        <f ca="1">IF(Estoque[[#This Row],[Dias para Vencer]]&lt;0,"Vencido",IF(Estoque[[#This Row],[Dias para Vencer]] &lt;=30, "Risco de Vencimento","OK"))</f>
        <v>OK</v>
      </c>
    </row>
    <row r="17" spans="1:12" x14ac:dyDescent="0.25">
      <c r="A17" s="15" t="s">
        <v>425</v>
      </c>
      <c r="B17" s="16" t="s">
        <v>403</v>
      </c>
      <c r="C17" s="16" t="s">
        <v>426</v>
      </c>
      <c r="D17" s="16" t="s">
        <v>391</v>
      </c>
      <c r="E17" s="16" t="s">
        <v>369</v>
      </c>
      <c r="F17" s="16" t="s">
        <v>427</v>
      </c>
      <c r="G17" s="29">
        <v>9826</v>
      </c>
      <c r="H17" s="20">
        <v>7.95</v>
      </c>
      <c r="I17" s="22">
        <v>46111</v>
      </c>
      <c r="J17" s="24">
        <f>Estoque[[#This Row],[Qtd Estoque]]*Estoque[[#This Row],[Valor Unitário]]</f>
        <v>78116.7</v>
      </c>
      <c r="K17" s="34">
        <f ca="1">Estoque[[#This Row],[Validade]]-TODAY()</f>
        <v>1</v>
      </c>
      <c r="L17" s="17" t="str">
        <f ca="1">IF(Estoque[[#This Row],[Dias para Vencer]]&lt;0,"Vencido",IF(Estoque[[#This Row],[Dias para Vencer]] &lt;=30, "Risco de Vencimento","OK"))</f>
        <v>Risco de Vencimento</v>
      </c>
    </row>
    <row r="18" spans="1:12" x14ac:dyDescent="0.25">
      <c r="A18" s="15" t="s">
        <v>428</v>
      </c>
      <c r="B18" s="16" t="s">
        <v>389</v>
      </c>
      <c r="C18" s="16" t="s">
        <v>429</v>
      </c>
      <c r="D18" s="16" t="s">
        <v>386</v>
      </c>
      <c r="E18" s="16" t="s">
        <v>371</v>
      </c>
      <c r="F18" s="16" t="s">
        <v>396</v>
      </c>
      <c r="G18" s="29">
        <v>7194</v>
      </c>
      <c r="H18" s="20">
        <v>7.22</v>
      </c>
      <c r="I18" s="22">
        <v>45608</v>
      </c>
      <c r="J18" s="24">
        <f>Estoque[[#This Row],[Qtd Estoque]]*Estoque[[#This Row],[Valor Unitário]]</f>
        <v>51940.68</v>
      </c>
      <c r="K18" s="34">
        <f ca="1">Estoque[[#This Row],[Validade]]-TODAY()</f>
        <v>-502</v>
      </c>
      <c r="L18" s="17" t="str">
        <f ca="1">IF(Estoque[[#This Row],[Dias para Vencer]]&lt;0,"Vencido",IF(Estoque[[#This Row],[Dias para Vencer]] &lt;=30, "Risco de Vencimento","OK"))</f>
        <v>Vencido</v>
      </c>
    </row>
    <row r="19" spans="1:12" x14ac:dyDescent="0.25">
      <c r="A19" s="15" t="s">
        <v>415</v>
      </c>
      <c r="B19" s="16" t="s">
        <v>403</v>
      </c>
      <c r="C19" s="16" t="s">
        <v>430</v>
      </c>
      <c r="D19" s="16" t="s">
        <v>391</v>
      </c>
      <c r="E19" s="16" t="s">
        <v>369</v>
      </c>
      <c r="F19" s="16" t="s">
        <v>427</v>
      </c>
      <c r="G19" s="29">
        <v>7228</v>
      </c>
      <c r="H19" s="20">
        <v>5.57</v>
      </c>
      <c r="I19" s="22">
        <v>45645</v>
      </c>
      <c r="J19" s="24">
        <f>Estoque[[#This Row],[Qtd Estoque]]*Estoque[[#This Row],[Valor Unitário]]</f>
        <v>40259.96</v>
      </c>
      <c r="K19" s="34">
        <f ca="1">Estoque[[#This Row],[Validade]]-TODAY()</f>
        <v>-465</v>
      </c>
      <c r="L19" s="17" t="str">
        <f ca="1">IF(Estoque[[#This Row],[Dias para Vencer]]&lt;0,"Vencido",IF(Estoque[[#This Row],[Dias para Vencer]] &lt;=30, "Risco de Vencimento","OK"))</f>
        <v>Vencido</v>
      </c>
    </row>
    <row r="20" spans="1:12" x14ac:dyDescent="0.25">
      <c r="A20" s="15" t="s">
        <v>431</v>
      </c>
      <c r="B20" s="16" t="s">
        <v>403</v>
      </c>
      <c r="C20" s="16" t="s">
        <v>432</v>
      </c>
      <c r="D20" s="16" t="s">
        <v>386</v>
      </c>
      <c r="E20" s="16" t="s">
        <v>371</v>
      </c>
      <c r="F20" s="16" t="s">
        <v>396</v>
      </c>
      <c r="G20" s="29">
        <v>9942</v>
      </c>
      <c r="H20" s="20">
        <v>5.7</v>
      </c>
      <c r="I20" s="22">
        <v>45833</v>
      </c>
      <c r="J20" s="24">
        <f>Estoque[[#This Row],[Qtd Estoque]]*Estoque[[#This Row],[Valor Unitário]]</f>
        <v>56669.4</v>
      </c>
      <c r="K20" s="34">
        <f ca="1">Estoque[[#This Row],[Validade]]-TODAY()</f>
        <v>-277</v>
      </c>
      <c r="L20" s="17" t="str">
        <f ca="1">IF(Estoque[[#This Row],[Dias para Vencer]]&lt;0,"Vencido",IF(Estoque[[#This Row],[Dias para Vencer]] &lt;=30, "Risco de Vencimento","OK"))</f>
        <v>Vencido</v>
      </c>
    </row>
    <row r="21" spans="1:12" x14ac:dyDescent="0.25">
      <c r="A21" s="15" t="s">
        <v>423</v>
      </c>
      <c r="B21" s="16" t="s">
        <v>433</v>
      </c>
      <c r="C21" s="16" t="s">
        <v>434</v>
      </c>
      <c r="D21" s="16" t="s">
        <v>435</v>
      </c>
      <c r="E21" s="16" t="s">
        <v>367</v>
      </c>
      <c r="F21" s="16" t="s">
        <v>436</v>
      </c>
      <c r="G21" s="29">
        <v>4652</v>
      </c>
      <c r="H21" s="20">
        <v>6.57</v>
      </c>
      <c r="I21" s="22">
        <v>46179</v>
      </c>
      <c r="J21" s="24">
        <f>Estoque[[#This Row],[Qtd Estoque]]*Estoque[[#This Row],[Valor Unitário]]</f>
        <v>30563.640000000003</v>
      </c>
      <c r="K21" s="34">
        <f ca="1">Estoque[[#This Row],[Validade]]-TODAY()</f>
        <v>69</v>
      </c>
      <c r="L21" s="17" t="str">
        <f ca="1">IF(Estoque[[#This Row],[Dias para Vencer]]&lt;0,"Vencido",IF(Estoque[[#This Row],[Dias para Vencer]] &lt;=30, "Risco de Vencimento","OK"))</f>
        <v>OK</v>
      </c>
    </row>
    <row r="22" spans="1:12" x14ac:dyDescent="0.25">
      <c r="A22" s="15" t="s">
        <v>437</v>
      </c>
      <c r="B22" s="16" t="s">
        <v>433</v>
      </c>
      <c r="C22" s="16" t="s">
        <v>438</v>
      </c>
      <c r="D22" s="16" t="s">
        <v>386</v>
      </c>
      <c r="E22" s="16" t="s">
        <v>372</v>
      </c>
      <c r="F22" s="16" t="s">
        <v>405</v>
      </c>
      <c r="G22" s="29">
        <v>4840</v>
      </c>
      <c r="H22" s="20">
        <v>5</v>
      </c>
      <c r="I22" s="22">
        <v>45689</v>
      </c>
      <c r="J22" s="24">
        <f>Estoque[[#This Row],[Qtd Estoque]]*Estoque[[#This Row],[Valor Unitário]]</f>
        <v>24200</v>
      </c>
      <c r="K22" s="34">
        <f ca="1">Estoque[[#This Row],[Validade]]-TODAY()</f>
        <v>-421</v>
      </c>
      <c r="L22" s="17" t="str">
        <f ca="1">IF(Estoque[[#This Row],[Dias para Vencer]]&lt;0,"Vencido",IF(Estoque[[#This Row],[Dias para Vencer]] &lt;=30, "Risco de Vencimento","OK"))</f>
        <v>Vencido</v>
      </c>
    </row>
    <row r="23" spans="1:12" x14ac:dyDescent="0.25">
      <c r="A23" s="15" t="s">
        <v>383</v>
      </c>
      <c r="B23" s="16" t="s">
        <v>389</v>
      </c>
      <c r="C23" s="16" t="s">
        <v>439</v>
      </c>
      <c r="D23" s="16" t="s">
        <v>386</v>
      </c>
      <c r="E23" s="16" t="s">
        <v>372</v>
      </c>
      <c r="F23" s="16" t="s">
        <v>405</v>
      </c>
      <c r="G23" s="29">
        <v>6986</v>
      </c>
      <c r="H23" s="20">
        <v>7.59</v>
      </c>
      <c r="I23" s="22">
        <v>45907</v>
      </c>
      <c r="J23" s="24">
        <f>Estoque[[#This Row],[Qtd Estoque]]*Estoque[[#This Row],[Valor Unitário]]</f>
        <v>53023.74</v>
      </c>
      <c r="K23" s="34">
        <f ca="1">Estoque[[#This Row],[Validade]]-TODAY()</f>
        <v>-203</v>
      </c>
      <c r="L23" s="17" t="str">
        <f ca="1">IF(Estoque[[#This Row],[Dias para Vencer]]&lt;0,"Vencido",IF(Estoque[[#This Row],[Dias para Vencer]] &lt;=30, "Risco de Vencimento","OK"))</f>
        <v>Vencido</v>
      </c>
    </row>
    <row r="24" spans="1:12" x14ac:dyDescent="0.25">
      <c r="A24" s="15" t="s">
        <v>440</v>
      </c>
      <c r="B24" s="16" t="s">
        <v>418</v>
      </c>
      <c r="C24" s="16" t="s">
        <v>441</v>
      </c>
      <c r="D24" s="16" t="s">
        <v>435</v>
      </c>
      <c r="E24" s="16" t="s">
        <v>367</v>
      </c>
      <c r="F24" s="16" t="s">
        <v>436</v>
      </c>
      <c r="G24" s="29">
        <v>9273</v>
      </c>
      <c r="H24" s="20">
        <v>7.16</v>
      </c>
      <c r="I24" s="22">
        <v>45882</v>
      </c>
      <c r="J24" s="24">
        <f>Estoque[[#This Row],[Qtd Estoque]]*Estoque[[#This Row],[Valor Unitário]]</f>
        <v>66394.680000000008</v>
      </c>
      <c r="K24" s="34">
        <f ca="1">Estoque[[#This Row],[Validade]]-TODAY()</f>
        <v>-228</v>
      </c>
      <c r="L24" s="17" t="str">
        <f ca="1">IF(Estoque[[#This Row],[Dias para Vencer]]&lt;0,"Vencido",IF(Estoque[[#This Row],[Dias para Vencer]] &lt;=30, "Risco de Vencimento","OK"))</f>
        <v>Vencido</v>
      </c>
    </row>
    <row r="25" spans="1:12" x14ac:dyDescent="0.25">
      <c r="A25" s="15" t="s">
        <v>442</v>
      </c>
      <c r="B25" s="16" t="s">
        <v>411</v>
      </c>
      <c r="C25" s="16" t="s">
        <v>443</v>
      </c>
      <c r="D25" s="16" t="s">
        <v>386</v>
      </c>
      <c r="E25" s="16" t="s">
        <v>371</v>
      </c>
      <c r="F25" s="16" t="s">
        <v>396</v>
      </c>
      <c r="G25" s="29">
        <v>3044</v>
      </c>
      <c r="H25" s="20">
        <v>5</v>
      </c>
      <c r="I25" s="22">
        <v>45667</v>
      </c>
      <c r="J25" s="24">
        <f>Estoque[[#This Row],[Qtd Estoque]]*Estoque[[#This Row],[Valor Unitário]]</f>
        <v>15220</v>
      </c>
      <c r="K25" s="34">
        <f ca="1">Estoque[[#This Row],[Validade]]-TODAY()</f>
        <v>-443</v>
      </c>
      <c r="L25" s="17" t="str">
        <f ca="1">IF(Estoque[[#This Row],[Dias para Vencer]]&lt;0,"Vencido",IF(Estoque[[#This Row],[Dias para Vencer]] &lt;=30, "Risco de Vencimento","OK"))</f>
        <v>Vencido</v>
      </c>
    </row>
    <row r="26" spans="1:12" x14ac:dyDescent="0.25">
      <c r="A26" s="15" t="s">
        <v>415</v>
      </c>
      <c r="B26" s="16" t="s">
        <v>403</v>
      </c>
      <c r="C26" s="16" t="s">
        <v>444</v>
      </c>
      <c r="D26" s="16" t="s">
        <v>391</v>
      </c>
      <c r="E26" s="16" t="s">
        <v>369</v>
      </c>
      <c r="F26" s="16" t="s">
        <v>427</v>
      </c>
      <c r="G26" s="29">
        <v>4361</v>
      </c>
      <c r="H26" s="20">
        <v>5.57</v>
      </c>
      <c r="I26" s="22">
        <v>45512</v>
      </c>
      <c r="J26" s="24">
        <f>Estoque[[#This Row],[Qtd Estoque]]*Estoque[[#This Row],[Valor Unitário]]</f>
        <v>24290.77</v>
      </c>
      <c r="K26" s="34">
        <f ca="1">Estoque[[#This Row],[Validade]]-TODAY()</f>
        <v>-598</v>
      </c>
      <c r="L26" s="17" t="str">
        <f ca="1">IF(Estoque[[#This Row],[Dias para Vencer]]&lt;0,"Vencido",IF(Estoque[[#This Row],[Dias para Vencer]] &lt;=30, "Risco de Vencimento","OK"))</f>
        <v>Vencido</v>
      </c>
    </row>
    <row r="27" spans="1:12" x14ac:dyDescent="0.25">
      <c r="A27" s="15" t="s">
        <v>383</v>
      </c>
      <c r="B27" s="16" t="s">
        <v>401</v>
      </c>
      <c r="C27" s="16" t="s">
        <v>445</v>
      </c>
      <c r="D27" s="16" t="s">
        <v>399</v>
      </c>
      <c r="E27" s="16" t="s">
        <v>365</v>
      </c>
      <c r="F27" s="16" t="s">
        <v>414</v>
      </c>
      <c r="G27" s="29">
        <v>4528</v>
      </c>
      <c r="H27" s="20">
        <v>8.16</v>
      </c>
      <c r="I27" s="22">
        <v>45731</v>
      </c>
      <c r="J27" s="24">
        <f>Estoque[[#This Row],[Qtd Estoque]]*Estoque[[#This Row],[Valor Unitário]]</f>
        <v>36948.480000000003</v>
      </c>
      <c r="K27" s="34">
        <f ca="1">Estoque[[#This Row],[Validade]]-TODAY()</f>
        <v>-379</v>
      </c>
      <c r="L27" s="17" t="str">
        <f ca="1">IF(Estoque[[#This Row],[Dias para Vencer]]&lt;0,"Vencido",IF(Estoque[[#This Row],[Dias para Vencer]] &lt;=30, "Risco de Vencimento","OK"))</f>
        <v>Vencido</v>
      </c>
    </row>
    <row r="28" spans="1:12" x14ac:dyDescent="0.25">
      <c r="A28" s="15" t="s">
        <v>415</v>
      </c>
      <c r="B28" s="16" t="s">
        <v>389</v>
      </c>
      <c r="C28" s="16" t="s">
        <v>446</v>
      </c>
      <c r="D28" s="16" t="s">
        <v>399</v>
      </c>
      <c r="E28" s="16" t="s">
        <v>363</v>
      </c>
      <c r="F28" s="16" t="s">
        <v>400</v>
      </c>
      <c r="G28" s="29">
        <v>9228</v>
      </c>
      <c r="H28" s="20">
        <v>7.67</v>
      </c>
      <c r="I28" s="22">
        <v>46589</v>
      </c>
      <c r="J28" s="24">
        <f>Estoque[[#This Row],[Qtd Estoque]]*Estoque[[#This Row],[Valor Unitário]]</f>
        <v>70778.759999999995</v>
      </c>
      <c r="K28" s="34">
        <f ca="1">Estoque[[#This Row],[Validade]]-TODAY()</f>
        <v>479</v>
      </c>
      <c r="L28" s="17" t="str">
        <f ca="1">IF(Estoque[[#This Row],[Dias para Vencer]]&lt;0,"Vencido",IF(Estoque[[#This Row],[Dias para Vencer]] &lt;=30, "Risco de Vencimento","OK"))</f>
        <v>OK</v>
      </c>
    </row>
    <row r="29" spans="1:12" x14ac:dyDescent="0.25">
      <c r="A29" s="15" t="s">
        <v>431</v>
      </c>
      <c r="B29" s="16" t="s">
        <v>433</v>
      </c>
      <c r="C29" s="16" t="s">
        <v>447</v>
      </c>
      <c r="D29" s="16" t="s">
        <v>386</v>
      </c>
      <c r="E29" s="16" t="s">
        <v>371</v>
      </c>
      <c r="F29" s="16" t="s">
        <v>396</v>
      </c>
      <c r="G29" s="29">
        <v>2323</v>
      </c>
      <c r="H29" s="20">
        <v>5.76</v>
      </c>
      <c r="I29" s="22">
        <v>45874</v>
      </c>
      <c r="J29" s="24">
        <f>Estoque[[#This Row],[Qtd Estoque]]*Estoque[[#This Row],[Valor Unitário]]</f>
        <v>13380.48</v>
      </c>
      <c r="K29" s="34">
        <f ca="1">Estoque[[#This Row],[Validade]]-TODAY()</f>
        <v>-236</v>
      </c>
      <c r="L29" s="17" t="str">
        <f ca="1">IF(Estoque[[#This Row],[Dias para Vencer]]&lt;0,"Vencido",IF(Estoque[[#This Row],[Dias para Vencer]] &lt;=30, "Risco de Vencimento","OK"))</f>
        <v>Vencido</v>
      </c>
    </row>
    <row r="30" spans="1:12" x14ac:dyDescent="0.25">
      <c r="A30" s="15" t="s">
        <v>431</v>
      </c>
      <c r="B30" s="16" t="s">
        <v>418</v>
      </c>
      <c r="C30" s="16" t="s">
        <v>448</v>
      </c>
      <c r="D30" s="16" t="s">
        <v>386</v>
      </c>
      <c r="E30" s="16" t="s">
        <v>372</v>
      </c>
      <c r="F30" s="16" t="s">
        <v>405</v>
      </c>
      <c r="G30" s="29">
        <v>2561</v>
      </c>
      <c r="H30" s="20">
        <v>5.32</v>
      </c>
      <c r="I30" s="22">
        <v>46083</v>
      </c>
      <c r="J30" s="24">
        <f>Estoque[[#This Row],[Qtd Estoque]]*Estoque[[#This Row],[Valor Unitário]]</f>
        <v>13624.52</v>
      </c>
      <c r="K30" s="34">
        <f ca="1">Estoque[[#This Row],[Validade]]-TODAY()</f>
        <v>-27</v>
      </c>
      <c r="L30" s="17" t="str">
        <f ca="1">IF(Estoque[[#This Row],[Dias para Vencer]]&lt;0,"Vencido",IF(Estoque[[#This Row],[Dias para Vencer]] &lt;=30, "Risco de Vencimento","OK"))</f>
        <v>Vencido</v>
      </c>
    </row>
    <row r="31" spans="1:12" x14ac:dyDescent="0.25">
      <c r="A31" s="15" t="s">
        <v>425</v>
      </c>
      <c r="B31" s="16" t="s">
        <v>394</v>
      </c>
      <c r="C31" s="16" t="s">
        <v>449</v>
      </c>
      <c r="D31" s="16" t="s">
        <v>391</v>
      </c>
      <c r="E31" s="16" t="s">
        <v>369</v>
      </c>
      <c r="F31" s="16" t="s">
        <v>427</v>
      </c>
      <c r="G31" s="29">
        <v>6864</v>
      </c>
      <c r="H31" s="20">
        <v>4.46</v>
      </c>
      <c r="I31" s="22">
        <v>46010</v>
      </c>
      <c r="J31" s="24">
        <f>Estoque[[#This Row],[Qtd Estoque]]*Estoque[[#This Row],[Valor Unitário]]</f>
        <v>30613.439999999999</v>
      </c>
      <c r="K31" s="34">
        <f ca="1">Estoque[[#This Row],[Validade]]-TODAY()</f>
        <v>-100</v>
      </c>
      <c r="L31" s="17" t="str">
        <f ca="1">IF(Estoque[[#This Row],[Dias para Vencer]]&lt;0,"Vencido",IF(Estoque[[#This Row],[Dias para Vencer]] &lt;=30, "Risco de Vencimento","OK"))</f>
        <v>Vencido</v>
      </c>
    </row>
    <row r="32" spans="1:12" x14ac:dyDescent="0.25">
      <c r="A32" s="15" t="s">
        <v>437</v>
      </c>
      <c r="B32" s="16" t="s">
        <v>394</v>
      </c>
      <c r="C32" s="16" t="s">
        <v>450</v>
      </c>
      <c r="D32" s="16" t="s">
        <v>399</v>
      </c>
      <c r="E32" s="16" t="s">
        <v>363</v>
      </c>
      <c r="F32" s="16" t="s">
        <v>400</v>
      </c>
      <c r="G32" s="29">
        <v>2547</v>
      </c>
      <c r="H32" s="20">
        <v>7.11</v>
      </c>
      <c r="I32" s="22">
        <v>45782</v>
      </c>
      <c r="J32" s="24">
        <f>Estoque[[#This Row],[Qtd Estoque]]*Estoque[[#This Row],[Valor Unitário]]</f>
        <v>18109.170000000002</v>
      </c>
      <c r="K32" s="34">
        <f ca="1">Estoque[[#This Row],[Validade]]-TODAY()</f>
        <v>-328</v>
      </c>
      <c r="L32" s="17" t="str">
        <f ca="1">IF(Estoque[[#This Row],[Dias para Vencer]]&lt;0,"Vencido",IF(Estoque[[#This Row],[Dias para Vencer]] &lt;=30, "Risco de Vencimento","OK"))</f>
        <v>Vencido</v>
      </c>
    </row>
    <row r="33" spans="1:12" x14ac:dyDescent="0.25">
      <c r="A33" s="15" t="s">
        <v>425</v>
      </c>
      <c r="B33" s="16" t="s">
        <v>418</v>
      </c>
      <c r="C33" s="16" t="s">
        <v>451</v>
      </c>
      <c r="D33" s="16" t="s">
        <v>391</v>
      </c>
      <c r="E33" s="16" t="s">
        <v>369</v>
      </c>
      <c r="F33" s="16" t="s">
        <v>427</v>
      </c>
      <c r="G33" s="29">
        <v>6975</v>
      </c>
      <c r="H33" s="20">
        <v>9.1999999999999993</v>
      </c>
      <c r="I33" s="22">
        <v>46288</v>
      </c>
      <c r="J33" s="24">
        <f>Estoque[[#This Row],[Qtd Estoque]]*Estoque[[#This Row],[Valor Unitário]]</f>
        <v>64169.999999999993</v>
      </c>
      <c r="K33" s="34">
        <f ca="1">Estoque[[#This Row],[Validade]]-TODAY()</f>
        <v>178</v>
      </c>
      <c r="L33" s="17" t="str">
        <f ca="1">IF(Estoque[[#This Row],[Dias para Vencer]]&lt;0,"Vencido",IF(Estoque[[#This Row],[Dias para Vencer]] &lt;=30, "Risco de Vencimento","OK"))</f>
        <v>OK</v>
      </c>
    </row>
    <row r="34" spans="1:12" x14ac:dyDescent="0.25">
      <c r="A34" s="15" t="s">
        <v>425</v>
      </c>
      <c r="B34" s="16" t="s">
        <v>389</v>
      </c>
      <c r="C34" s="16" t="s">
        <v>452</v>
      </c>
      <c r="D34" s="16" t="s">
        <v>399</v>
      </c>
      <c r="E34" s="16" t="s">
        <v>365</v>
      </c>
      <c r="F34" s="16" t="s">
        <v>414</v>
      </c>
      <c r="G34" s="29">
        <v>4235</v>
      </c>
      <c r="H34" s="20">
        <v>8.59</v>
      </c>
      <c r="I34" s="22">
        <v>45565</v>
      </c>
      <c r="J34" s="24">
        <f>Estoque[[#This Row],[Qtd Estoque]]*Estoque[[#This Row],[Valor Unitário]]</f>
        <v>36378.65</v>
      </c>
      <c r="K34" s="34">
        <f ca="1">Estoque[[#This Row],[Validade]]-TODAY()</f>
        <v>-545</v>
      </c>
      <c r="L34" s="17" t="str">
        <f ca="1">IF(Estoque[[#This Row],[Dias para Vencer]]&lt;0,"Vencido",IF(Estoque[[#This Row],[Dias para Vencer]] &lt;=30, "Risco de Vencimento","OK"))</f>
        <v>Vencido</v>
      </c>
    </row>
    <row r="35" spans="1:12" x14ac:dyDescent="0.25">
      <c r="A35" s="15" t="s">
        <v>410</v>
      </c>
      <c r="B35" s="16" t="s">
        <v>453</v>
      </c>
      <c r="C35" s="16" t="s">
        <v>454</v>
      </c>
      <c r="D35" s="16" t="s">
        <v>386</v>
      </c>
      <c r="E35" s="16" t="s">
        <v>371</v>
      </c>
      <c r="F35" s="16" t="s">
        <v>396</v>
      </c>
      <c r="G35" s="29">
        <v>6979</v>
      </c>
      <c r="H35" s="20">
        <v>2.64</v>
      </c>
      <c r="I35" s="22">
        <v>46160</v>
      </c>
      <c r="J35" s="24">
        <f>Estoque[[#This Row],[Qtd Estoque]]*Estoque[[#This Row],[Valor Unitário]]</f>
        <v>18424.560000000001</v>
      </c>
      <c r="K35" s="34">
        <f ca="1">Estoque[[#This Row],[Validade]]-TODAY()</f>
        <v>50</v>
      </c>
      <c r="L35" s="17" t="str">
        <f ca="1">IF(Estoque[[#This Row],[Dias para Vencer]]&lt;0,"Vencido",IF(Estoque[[#This Row],[Dias para Vencer]] &lt;=30, "Risco de Vencimento","OK"))</f>
        <v>OK</v>
      </c>
    </row>
    <row r="36" spans="1:12" x14ac:dyDescent="0.25">
      <c r="A36" s="15" t="s">
        <v>397</v>
      </c>
      <c r="B36" s="16" t="s">
        <v>394</v>
      </c>
      <c r="C36" s="16" t="s">
        <v>455</v>
      </c>
      <c r="D36" s="16" t="s">
        <v>391</v>
      </c>
      <c r="E36" s="16" t="s">
        <v>369</v>
      </c>
      <c r="F36" s="16" t="s">
        <v>427</v>
      </c>
      <c r="G36" s="29">
        <v>9532</v>
      </c>
      <c r="H36" s="20">
        <v>9.02</v>
      </c>
      <c r="I36" s="22">
        <v>45906</v>
      </c>
      <c r="J36" s="24">
        <f>Estoque[[#This Row],[Qtd Estoque]]*Estoque[[#This Row],[Valor Unitário]]</f>
        <v>85978.64</v>
      </c>
      <c r="K36" s="34">
        <f ca="1">Estoque[[#This Row],[Validade]]-TODAY()</f>
        <v>-204</v>
      </c>
      <c r="L36" s="17" t="str">
        <f ca="1">IF(Estoque[[#This Row],[Dias para Vencer]]&lt;0,"Vencido",IF(Estoque[[#This Row],[Dias para Vencer]] &lt;=30, "Risco de Vencimento","OK"))</f>
        <v>Vencido</v>
      </c>
    </row>
    <row r="37" spans="1:12" x14ac:dyDescent="0.25">
      <c r="A37" s="15" t="s">
        <v>406</v>
      </c>
      <c r="B37" s="16" t="s">
        <v>433</v>
      </c>
      <c r="C37" s="16" t="s">
        <v>456</v>
      </c>
      <c r="D37" s="16" t="s">
        <v>399</v>
      </c>
      <c r="E37" s="16" t="s">
        <v>366</v>
      </c>
      <c r="F37" s="16" t="s">
        <v>417</v>
      </c>
      <c r="G37" s="29">
        <v>8515</v>
      </c>
      <c r="H37" s="20">
        <v>5.79</v>
      </c>
      <c r="I37" s="22">
        <v>46673</v>
      </c>
      <c r="J37" s="24">
        <f>Estoque[[#This Row],[Qtd Estoque]]*Estoque[[#This Row],[Valor Unitário]]</f>
        <v>49301.85</v>
      </c>
      <c r="K37" s="34">
        <f ca="1">Estoque[[#This Row],[Validade]]-TODAY()</f>
        <v>563</v>
      </c>
      <c r="L37" s="17" t="str">
        <f ca="1">IF(Estoque[[#This Row],[Dias para Vencer]]&lt;0,"Vencido",IF(Estoque[[#This Row],[Dias para Vencer]] &lt;=30, "Risco de Vencimento","OK"))</f>
        <v>OK</v>
      </c>
    </row>
    <row r="38" spans="1:12" x14ac:dyDescent="0.25">
      <c r="A38" s="15" t="s">
        <v>397</v>
      </c>
      <c r="B38" s="16" t="s">
        <v>433</v>
      </c>
      <c r="C38" s="16" t="s">
        <v>457</v>
      </c>
      <c r="D38" s="16" t="s">
        <v>399</v>
      </c>
      <c r="E38" s="16" t="s">
        <v>363</v>
      </c>
      <c r="F38" s="16" t="s">
        <v>400</v>
      </c>
      <c r="G38" s="29">
        <v>9037</v>
      </c>
      <c r="H38" s="20">
        <v>5</v>
      </c>
      <c r="I38" s="22">
        <v>45527</v>
      </c>
      <c r="J38" s="24">
        <f>Estoque[[#This Row],[Qtd Estoque]]*Estoque[[#This Row],[Valor Unitário]]</f>
        <v>45185</v>
      </c>
      <c r="K38" s="34">
        <f ca="1">Estoque[[#This Row],[Validade]]-TODAY()</f>
        <v>-583</v>
      </c>
      <c r="L38" s="17" t="str">
        <f ca="1">IF(Estoque[[#This Row],[Dias para Vencer]]&lt;0,"Vencido",IF(Estoque[[#This Row],[Dias para Vencer]] &lt;=30, "Risco de Vencimento","OK"))</f>
        <v>Vencido</v>
      </c>
    </row>
    <row r="39" spans="1:12" x14ac:dyDescent="0.25">
      <c r="A39" s="15" t="s">
        <v>423</v>
      </c>
      <c r="B39" s="16" t="s">
        <v>403</v>
      </c>
      <c r="C39" s="16" t="s">
        <v>458</v>
      </c>
      <c r="D39" s="16" t="s">
        <v>399</v>
      </c>
      <c r="E39" s="16" t="s">
        <v>365</v>
      </c>
      <c r="F39" s="16" t="s">
        <v>414</v>
      </c>
      <c r="G39" s="29">
        <v>9054</v>
      </c>
      <c r="H39" s="20">
        <v>7.7</v>
      </c>
      <c r="I39" s="22">
        <v>46315</v>
      </c>
      <c r="J39" s="24">
        <f>Estoque[[#This Row],[Qtd Estoque]]*Estoque[[#This Row],[Valor Unitário]]</f>
        <v>69715.8</v>
      </c>
      <c r="K39" s="34">
        <f ca="1">Estoque[[#This Row],[Validade]]-TODAY()</f>
        <v>205</v>
      </c>
      <c r="L39" s="17" t="str">
        <f ca="1">IF(Estoque[[#This Row],[Dias para Vencer]]&lt;0,"Vencido",IF(Estoque[[#This Row],[Dias para Vencer]] &lt;=30, "Risco de Vencimento","OK"))</f>
        <v>OK</v>
      </c>
    </row>
    <row r="40" spans="1:12" x14ac:dyDescent="0.25">
      <c r="A40" s="15" t="s">
        <v>428</v>
      </c>
      <c r="B40" s="16" t="s">
        <v>394</v>
      </c>
      <c r="C40" s="16" t="s">
        <v>459</v>
      </c>
      <c r="D40" s="16" t="s">
        <v>391</v>
      </c>
      <c r="E40" s="16" t="s">
        <v>370</v>
      </c>
      <c r="F40" s="16" t="s">
        <v>392</v>
      </c>
      <c r="G40" s="29">
        <v>1695</v>
      </c>
      <c r="H40" s="20">
        <v>6.08</v>
      </c>
      <c r="I40" s="22">
        <v>46724</v>
      </c>
      <c r="J40" s="24">
        <f>Estoque[[#This Row],[Qtd Estoque]]*Estoque[[#This Row],[Valor Unitário]]</f>
        <v>10305.6</v>
      </c>
      <c r="K40" s="34">
        <f ca="1">Estoque[[#This Row],[Validade]]-TODAY()</f>
        <v>614</v>
      </c>
      <c r="L40" s="17" t="str">
        <f ca="1">IF(Estoque[[#This Row],[Dias para Vencer]]&lt;0,"Vencido",IF(Estoque[[#This Row],[Dias para Vencer]] &lt;=30, "Risco de Vencimento","OK"))</f>
        <v>OK</v>
      </c>
    </row>
    <row r="41" spans="1:12" x14ac:dyDescent="0.25">
      <c r="A41" s="15" t="s">
        <v>415</v>
      </c>
      <c r="B41" s="16" t="s">
        <v>418</v>
      </c>
      <c r="C41" s="16" t="s">
        <v>460</v>
      </c>
      <c r="D41" s="16" t="s">
        <v>399</v>
      </c>
      <c r="E41" s="16" t="s">
        <v>363</v>
      </c>
      <c r="F41" s="16" t="s">
        <v>400</v>
      </c>
      <c r="G41" s="29">
        <v>9344</v>
      </c>
      <c r="H41" s="20">
        <v>3.94</v>
      </c>
      <c r="I41" s="22">
        <v>46456</v>
      </c>
      <c r="J41" s="24">
        <f>Estoque[[#This Row],[Qtd Estoque]]*Estoque[[#This Row],[Valor Unitário]]</f>
        <v>36815.360000000001</v>
      </c>
      <c r="K41" s="34">
        <f ca="1">Estoque[[#This Row],[Validade]]-TODAY()</f>
        <v>346</v>
      </c>
      <c r="L41" s="17" t="str">
        <f ca="1">IF(Estoque[[#This Row],[Dias para Vencer]]&lt;0,"Vencido",IF(Estoque[[#This Row],[Dias para Vencer]] &lt;=30, "Risco de Vencimento","OK"))</f>
        <v>OK</v>
      </c>
    </row>
    <row r="42" spans="1:12" x14ac:dyDescent="0.25">
      <c r="A42" s="15" t="s">
        <v>383</v>
      </c>
      <c r="B42" s="16" t="s">
        <v>433</v>
      </c>
      <c r="C42" s="16" t="s">
        <v>461</v>
      </c>
      <c r="D42" s="16" t="s">
        <v>399</v>
      </c>
      <c r="E42" s="16" t="s">
        <v>366</v>
      </c>
      <c r="F42" s="16" t="s">
        <v>417</v>
      </c>
      <c r="G42" s="29">
        <v>2278</v>
      </c>
      <c r="H42" s="20">
        <v>7.52</v>
      </c>
      <c r="I42" s="22">
        <v>46410</v>
      </c>
      <c r="J42" s="24">
        <f>Estoque[[#This Row],[Qtd Estoque]]*Estoque[[#This Row],[Valor Unitário]]</f>
        <v>17130.559999999998</v>
      </c>
      <c r="K42" s="34">
        <f ca="1">Estoque[[#This Row],[Validade]]-TODAY()</f>
        <v>300</v>
      </c>
      <c r="L42" s="17" t="str">
        <f ca="1">IF(Estoque[[#This Row],[Dias para Vencer]]&lt;0,"Vencido",IF(Estoque[[#This Row],[Dias para Vencer]] &lt;=30, "Risco de Vencimento","OK"))</f>
        <v>OK</v>
      </c>
    </row>
    <row r="43" spans="1:12" x14ac:dyDescent="0.25">
      <c r="A43" s="15" t="s">
        <v>440</v>
      </c>
      <c r="B43" s="16" t="s">
        <v>418</v>
      </c>
      <c r="C43" s="16" t="s">
        <v>462</v>
      </c>
      <c r="D43" s="16" t="s">
        <v>435</v>
      </c>
      <c r="E43" s="16" t="s">
        <v>368</v>
      </c>
      <c r="F43" s="16" t="s">
        <v>463</v>
      </c>
      <c r="G43" s="29">
        <v>5259</v>
      </c>
      <c r="H43" s="20">
        <v>7.16</v>
      </c>
      <c r="I43" s="22">
        <v>45729</v>
      </c>
      <c r="J43" s="24">
        <f>Estoque[[#This Row],[Qtd Estoque]]*Estoque[[#This Row],[Valor Unitário]]</f>
        <v>37654.44</v>
      </c>
      <c r="K43" s="34">
        <f ca="1">Estoque[[#This Row],[Validade]]-TODAY()</f>
        <v>-381</v>
      </c>
      <c r="L43" s="17" t="str">
        <f ca="1">IF(Estoque[[#This Row],[Dias para Vencer]]&lt;0,"Vencido",IF(Estoque[[#This Row],[Dias para Vencer]] &lt;=30, "Risco de Vencimento","OK"))</f>
        <v>Vencido</v>
      </c>
    </row>
    <row r="44" spans="1:12" x14ac:dyDescent="0.25">
      <c r="A44" s="15" t="s">
        <v>464</v>
      </c>
      <c r="B44" s="16" t="s">
        <v>401</v>
      </c>
      <c r="C44" s="16" t="s">
        <v>465</v>
      </c>
      <c r="D44" s="16" t="s">
        <v>399</v>
      </c>
      <c r="E44" s="16" t="s">
        <v>365</v>
      </c>
      <c r="F44" s="16" t="s">
        <v>414</v>
      </c>
      <c r="G44" s="29">
        <v>3097</v>
      </c>
      <c r="H44" s="20">
        <v>4.29</v>
      </c>
      <c r="I44" s="22">
        <v>45383</v>
      </c>
      <c r="J44" s="24">
        <f>Estoque[[#This Row],[Qtd Estoque]]*Estoque[[#This Row],[Valor Unitário]]</f>
        <v>13286.130000000001</v>
      </c>
      <c r="K44" s="34">
        <f ca="1">Estoque[[#This Row],[Validade]]-TODAY()</f>
        <v>-727</v>
      </c>
      <c r="L44" s="17" t="str">
        <f ca="1">IF(Estoque[[#This Row],[Dias para Vencer]]&lt;0,"Vencido",IF(Estoque[[#This Row],[Dias para Vencer]] &lt;=30, "Risco de Vencimento","OK"))</f>
        <v>Vencido</v>
      </c>
    </row>
    <row r="45" spans="1:12" x14ac:dyDescent="0.25">
      <c r="A45" s="15" t="s">
        <v>425</v>
      </c>
      <c r="B45" s="16" t="s">
        <v>394</v>
      </c>
      <c r="C45" s="16" t="s">
        <v>466</v>
      </c>
      <c r="D45" s="16" t="s">
        <v>386</v>
      </c>
      <c r="E45" s="16" t="s">
        <v>371</v>
      </c>
      <c r="F45" s="16" t="s">
        <v>396</v>
      </c>
      <c r="G45" s="29">
        <v>1997</v>
      </c>
      <c r="H45" s="20">
        <v>4.46</v>
      </c>
      <c r="I45" s="22">
        <v>46093</v>
      </c>
      <c r="J45" s="24">
        <f>Estoque[[#This Row],[Qtd Estoque]]*Estoque[[#This Row],[Valor Unitário]]</f>
        <v>8906.6200000000008</v>
      </c>
      <c r="K45" s="34">
        <f ca="1">Estoque[[#This Row],[Validade]]-TODAY()</f>
        <v>-17</v>
      </c>
      <c r="L45" s="17" t="str">
        <f ca="1">IF(Estoque[[#This Row],[Dias para Vencer]]&lt;0,"Vencido",IF(Estoque[[#This Row],[Dias para Vencer]] &lt;=30, "Risco de Vencimento","OK"))</f>
        <v>Vencido</v>
      </c>
    </row>
    <row r="46" spans="1:12" x14ac:dyDescent="0.25">
      <c r="A46" s="15" t="s">
        <v>410</v>
      </c>
      <c r="B46" s="16" t="s">
        <v>401</v>
      </c>
      <c r="C46" s="16" t="s">
        <v>467</v>
      </c>
      <c r="D46" s="16" t="s">
        <v>391</v>
      </c>
      <c r="E46" s="16" t="s">
        <v>369</v>
      </c>
      <c r="F46" s="16" t="s">
        <v>427</v>
      </c>
      <c r="G46" s="29">
        <v>7329</v>
      </c>
      <c r="H46" s="20">
        <v>8.27</v>
      </c>
      <c r="I46" s="22">
        <v>45742</v>
      </c>
      <c r="J46" s="24">
        <f>Estoque[[#This Row],[Qtd Estoque]]*Estoque[[#This Row],[Valor Unitário]]</f>
        <v>60610.829999999994</v>
      </c>
      <c r="K46" s="34">
        <f ca="1">Estoque[[#This Row],[Validade]]-TODAY()</f>
        <v>-368</v>
      </c>
      <c r="L46" s="17" t="str">
        <f ca="1">IF(Estoque[[#This Row],[Dias para Vencer]]&lt;0,"Vencido",IF(Estoque[[#This Row],[Dias para Vencer]] &lt;=30, "Risco de Vencimento","OK"))</f>
        <v>Vencido</v>
      </c>
    </row>
    <row r="47" spans="1:12" x14ac:dyDescent="0.25">
      <c r="A47" s="15" t="s">
        <v>397</v>
      </c>
      <c r="B47" s="16" t="s">
        <v>403</v>
      </c>
      <c r="C47" s="16" t="s">
        <v>468</v>
      </c>
      <c r="D47" s="16" t="s">
        <v>386</v>
      </c>
      <c r="E47" s="16" t="s">
        <v>372</v>
      </c>
      <c r="F47" s="16" t="s">
        <v>405</v>
      </c>
      <c r="G47" s="29">
        <v>3621</v>
      </c>
      <c r="H47" s="20">
        <v>8.98</v>
      </c>
      <c r="I47" s="22">
        <v>45531</v>
      </c>
      <c r="J47" s="24">
        <f>Estoque[[#This Row],[Qtd Estoque]]*Estoque[[#This Row],[Valor Unitário]]</f>
        <v>32516.58</v>
      </c>
      <c r="K47" s="34">
        <f ca="1">Estoque[[#This Row],[Validade]]-TODAY()</f>
        <v>-579</v>
      </c>
      <c r="L47" s="17" t="str">
        <f ca="1">IF(Estoque[[#This Row],[Dias para Vencer]]&lt;0,"Vencido",IF(Estoque[[#This Row],[Dias para Vencer]] &lt;=30, "Risco de Vencimento","OK"))</f>
        <v>Vencido</v>
      </c>
    </row>
    <row r="48" spans="1:12" x14ac:dyDescent="0.25">
      <c r="A48" s="15" t="s">
        <v>421</v>
      </c>
      <c r="B48" s="16" t="s">
        <v>394</v>
      </c>
      <c r="C48" s="16" t="s">
        <v>469</v>
      </c>
      <c r="D48" s="16" t="s">
        <v>386</v>
      </c>
      <c r="E48" s="16" t="s">
        <v>371</v>
      </c>
      <c r="F48" s="16" t="s">
        <v>396</v>
      </c>
      <c r="G48" s="29">
        <v>3873</v>
      </c>
      <c r="H48" s="20">
        <v>4.2699999999999996</v>
      </c>
      <c r="I48" s="22">
        <v>45612</v>
      </c>
      <c r="J48" s="24">
        <f>Estoque[[#This Row],[Qtd Estoque]]*Estoque[[#This Row],[Valor Unitário]]</f>
        <v>16537.71</v>
      </c>
      <c r="K48" s="34">
        <f ca="1">Estoque[[#This Row],[Validade]]-TODAY()</f>
        <v>-498</v>
      </c>
      <c r="L48" s="17" t="str">
        <f ca="1">IF(Estoque[[#This Row],[Dias para Vencer]]&lt;0,"Vencido",IF(Estoque[[#This Row],[Dias para Vencer]] &lt;=30, "Risco de Vencimento","OK"))</f>
        <v>Vencido</v>
      </c>
    </row>
    <row r="49" spans="1:12" x14ac:dyDescent="0.25">
      <c r="A49" s="15" t="s">
        <v>431</v>
      </c>
      <c r="B49" s="16" t="s">
        <v>418</v>
      </c>
      <c r="C49" s="16" t="s">
        <v>470</v>
      </c>
      <c r="D49" s="16" t="s">
        <v>399</v>
      </c>
      <c r="E49" s="16" t="s">
        <v>364</v>
      </c>
      <c r="F49" s="16" t="s">
        <v>408</v>
      </c>
      <c r="G49" s="29">
        <v>7209</v>
      </c>
      <c r="H49" s="20">
        <v>5.32</v>
      </c>
      <c r="I49" s="22">
        <v>45502</v>
      </c>
      <c r="J49" s="24">
        <f>Estoque[[#This Row],[Qtd Estoque]]*Estoque[[#This Row],[Valor Unitário]]</f>
        <v>38351.880000000005</v>
      </c>
      <c r="K49" s="34">
        <f ca="1">Estoque[[#This Row],[Validade]]-TODAY()</f>
        <v>-608</v>
      </c>
      <c r="L49" s="17" t="str">
        <f ca="1">IF(Estoque[[#This Row],[Dias para Vencer]]&lt;0,"Vencido",IF(Estoque[[#This Row],[Dias para Vencer]] &lt;=30, "Risco de Vencimento","OK"))</f>
        <v>Vencido</v>
      </c>
    </row>
    <row r="50" spans="1:12" x14ac:dyDescent="0.25">
      <c r="A50" s="15" t="s">
        <v>464</v>
      </c>
      <c r="B50" s="16" t="s">
        <v>453</v>
      </c>
      <c r="C50" s="16" t="s">
        <v>471</v>
      </c>
      <c r="D50" s="16" t="s">
        <v>399</v>
      </c>
      <c r="E50" s="16" t="s">
        <v>363</v>
      </c>
      <c r="F50" s="16" t="s">
        <v>400</v>
      </c>
      <c r="G50" s="29">
        <v>1029</v>
      </c>
      <c r="H50" s="20">
        <v>3.52</v>
      </c>
      <c r="I50" s="22">
        <v>45831</v>
      </c>
      <c r="J50" s="24">
        <f>Estoque[[#This Row],[Qtd Estoque]]*Estoque[[#This Row],[Valor Unitário]]</f>
        <v>3622.08</v>
      </c>
      <c r="K50" s="34">
        <f ca="1">Estoque[[#This Row],[Validade]]-TODAY()</f>
        <v>-279</v>
      </c>
      <c r="L50" s="17" t="str">
        <f ca="1">IF(Estoque[[#This Row],[Dias para Vencer]]&lt;0,"Vencido",IF(Estoque[[#This Row],[Dias para Vencer]] &lt;=30, "Risco de Vencimento","OK"))</f>
        <v>Vencido</v>
      </c>
    </row>
    <row r="51" spans="1:12" x14ac:dyDescent="0.25">
      <c r="A51" s="15" t="s">
        <v>440</v>
      </c>
      <c r="B51" s="16" t="s">
        <v>389</v>
      </c>
      <c r="C51" s="16" t="s">
        <v>472</v>
      </c>
      <c r="D51" s="16" t="s">
        <v>435</v>
      </c>
      <c r="E51" s="16" t="s">
        <v>367</v>
      </c>
      <c r="F51" s="16" t="s">
        <v>436</v>
      </c>
      <c r="G51" s="29">
        <v>6464</v>
      </c>
      <c r="H51" s="20">
        <v>6.81</v>
      </c>
      <c r="I51" s="22">
        <v>46581</v>
      </c>
      <c r="J51" s="24">
        <f>Estoque[[#This Row],[Qtd Estoque]]*Estoque[[#This Row],[Valor Unitário]]</f>
        <v>44019.839999999997</v>
      </c>
      <c r="K51" s="34">
        <f ca="1">Estoque[[#This Row],[Validade]]-TODAY()</f>
        <v>471</v>
      </c>
      <c r="L51" s="17" t="str">
        <f ca="1">IF(Estoque[[#This Row],[Dias para Vencer]]&lt;0,"Vencido",IF(Estoque[[#This Row],[Dias para Vencer]] &lt;=30, "Risco de Vencimento","OK"))</f>
        <v>OK</v>
      </c>
    </row>
    <row r="52" spans="1:12" x14ac:dyDescent="0.25">
      <c r="A52" s="15" t="s">
        <v>473</v>
      </c>
      <c r="B52" s="16" t="s">
        <v>453</v>
      </c>
      <c r="C52" s="16" t="s">
        <v>474</v>
      </c>
      <c r="D52" s="16" t="s">
        <v>435</v>
      </c>
      <c r="E52" s="16" t="s">
        <v>368</v>
      </c>
      <c r="F52" s="16" t="s">
        <v>463</v>
      </c>
      <c r="G52" s="29">
        <v>2241</v>
      </c>
      <c r="H52" s="20">
        <v>6.16</v>
      </c>
      <c r="I52" s="22">
        <v>46531</v>
      </c>
      <c r="J52" s="24">
        <f>Estoque[[#This Row],[Qtd Estoque]]*Estoque[[#This Row],[Valor Unitário]]</f>
        <v>13804.56</v>
      </c>
      <c r="K52" s="34">
        <f ca="1">Estoque[[#This Row],[Validade]]-TODAY()</f>
        <v>421</v>
      </c>
      <c r="L52" s="17" t="str">
        <f ca="1">IF(Estoque[[#This Row],[Dias para Vencer]]&lt;0,"Vencido",IF(Estoque[[#This Row],[Dias para Vencer]] &lt;=30, "Risco de Vencimento","OK"))</f>
        <v>OK</v>
      </c>
    </row>
    <row r="53" spans="1:12" x14ac:dyDescent="0.25">
      <c r="A53" s="15" t="s">
        <v>442</v>
      </c>
      <c r="B53" s="16" t="s">
        <v>401</v>
      </c>
      <c r="C53" s="16" t="s">
        <v>475</v>
      </c>
      <c r="D53" s="16" t="s">
        <v>399</v>
      </c>
      <c r="E53" s="16" t="s">
        <v>364</v>
      </c>
      <c r="F53" s="16" t="s">
        <v>408</v>
      </c>
      <c r="G53" s="29">
        <v>2987</v>
      </c>
      <c r="H53" s="20">
        <v>4.1500000000000004</v>
      </c>
      <c r="I53" s="22">
        <v>45699</v>
      </c>
      <c r="J53" s="24">
        <f>Estoque[[#This Row],[Qtd Estoque]]*Estoque[[#This Row],[Valor Unitário]]</f>
        <v>12396.050000000001</v>
      </c>
      <c r="K53" s="34">
        <f ca="1">Estoque[[#This Row],[Validade]]-TODAY()</f>
        <v>-411</v>
      </c>
      <c r="L53" s="17" t="str">
        <f ca="1">IF(Estoque[[#This Row],[Dias para Vencer]]&lt;0,"Vencido",IF(Estoque[[#This Row],[Dias para Vencer]] &lt;=30, "Risco de Vencimento","OK"))</f>
        <v>Vencido</v>
      </c>
    </row>
    <row r="54" spans="1:12" x14ac:dyDescent="0.25">
      <c r="A54" s="15" t="s">
        <v>421</v>
      </c>
      <c r="B54" s="16" t="s">
        <v>411</v>
      </c>
      <c r="C54" s="16" t="s">
        <v>476</v>
      </c>
      <c r="D54" s="16" t="s">
        <v>435</v>
      </c>
      <c r="E54" s="16" t="s">
        <v>367</v>
      </c>
      <c r="F54" s="16" t="s">
        <v>436</v>
      </c>
      <c r="G54" s="29">
        <v>8479</v>
      </c>
      <c r="H54" s="20">
        <v>4.95</v>
      </c>
      <c r="I54" s="22">
        <v>46593</v>
      </c>
      <c r="J54" s="24">
        <f>Estoque[[#This Row],[Qtd Estoque]]*Estoque[[#This Row],[Valor Unitário]]</f>
        <v>41971.05</v>
      </c>
      <c r="K54" s="34">
        <f ca="1">Estoque[[#This Row],[Validade]]-TODAY()</f>
        <v>483</v>
      </c>
      <c r="L54" s="17" t="str">
        <f ca="1">IF(Estoque[[#This Row],[Dias para Vencer]]&lt;0,"Vencido",IF(Estoque[[#This Row],[Dias para Vencer]] &lt;=30, "Risco de Vencimento","OK"))</f>
        <v>OK</v>
      </c>
    </row>
    <row r="55" spans="1:12" x14ac:dyDescent="0.25">
      <c r="A55" s="15" t="s">
        <v>393</v>
      </c>
      <c r="B55" s="16" t="s">
        <v>453</v>
      </c>
      <c r="C55" s="16" t="s">
        <v>477</v>
      </c>
      <c r="D55" s="16" t="s">
        <v>435</v>
      </c>
      <c r="E55" s="16" t="s">
        <v>368</v>
      </c>
      <c r="F55" s="16" t="s">
        <v>463</v>
      </c>
      <c r="G55" s="29">
        <v>4718</v>
      </c>
      <c r="H55" s="20">
        <v>7.14</v>
      </c>
      <c r="I55" s="22">
        <v>46431</v>
      </c>
      <c r="J55" s="24">
        <f>Estoque[[#This Row],[Qtd Estoque]]*Estoque[[#This Row],[Valor Unitário]]</f>
        <v>33686.519999999997</v>
      </c>
      <c r="K55" s="34">
        <f ca="1">Estoque[[#This Row],[Validade]]-TODAY()</f>
        <v>321</v>
      </c>
      <c r="L55" s="17" t="str">
        <f ca="1">IF(Estoque[[#This Row],[Dias para Vencer]]&lt;0,"Vencido",IF(Estoque[[#This Row],[Dias para Vencer]] &lt;=30, "Risco de Vencimento","OK"))</f>
        <v>OK</v>
      </c>
    </row>
    <row r="56" spans="1:12" x14ac:dyDescent="0.25">
      <c r="A56" s="15" t="s">
        <v>437</v>
      </c>
      <c r="B56" s="16" t="s">
        <v>403</v>
      </c>
      <c r="C56" s="16" t="s">
        <v>478</v>
      </c>
      <c r="D56" s="16" t="s">
        <v>386</v>
      </c>
      <c r="E56" s="16" t="s">
        <v>371</v>
      </c>
      <c r="F56" s="16" t="s">
        <v>396</v>
      </c>
      <c r="G56" s="29">
        <v>2158</v>
      </c>
      <c r="H56" s="20">
        <v>9.2200000000000006</v>
      </c>
      <c r="I56" s="22">
        <v>46187</v>
      </c>
      <c r="J56" s="24">
        <f>Estoque[[#This Row],[Qtd Estoque]]*Estoque[[#This Row],[Valor Unitário]]</f>
        <v>19896.760000000002</v>
      </c>
      <c r="K56" s="34">
        <f ca="1">Estoque[[#This Row],[Validade]]-TODAY()</f>
        <v>77</v>
      </c>
      <c r="L56" s="17" t="str">
        <f ca="1">IF(Estoque[[#This Row],[Dias para Vencer]]&lt;0,"Vencido",IF(Estoque[[#This Row],[Dias para Vencer]] &lt;=30, "Risco de Vencimento","OK"))</f>
        <v>OK</v>
      </c>
    </row>
    <row r="57" spans="1:12" x14ac:dyDescent="0.25">
      <c r="A57" s="15" t="s">
        <v>406</v>
      </c>
      <c r="B57" s="16" t="s">
        <v>389</v>
      </c>
      <c r="C57" s="16" t="s">
        <v>479</v>
      </c>
      <c r="D57" s="16" t="s">
        <v>386</v>
      </c>
      <c r="E57" s="16" t="s">
        <v>372</v>
      </c>
      <c r="F57" s="16" t="s">
        <v>405</v>
      </c>
      <c r="G57" s="29">
        <v>4894</v>
      </c>
      <c r="H57" s="20">
        <v>4.33</v>
      </c>
      <c r="I57" s="22">
        <v>45794</v>
      </c>
      <c r="J57" s="24">
        <f>Estoque[[#This Row],[Qtd Estoque]]*Estoque[[#This Row],[Valor Unitário]]</f>
        <v>21191.02</v>
      </c>
      <c r="K57" s="34">
        <f ca="1">Estoque[[#This Row],[Validade]]-TODAY()</f>
        <v>-316</v>
      </c>
      <c r="L57" s="17" t="str">
        <f ca="1">IF(Estoque[[#This Row],[Dias para Vencer]]&lt;0,"Vencido",IF(Estoque[[#This Row],[Dias para Vencer]] &lt;=30, "Risco de Vencimento","OK"))</f>
        <v>Vencido</v>
      </c>
    </row>
    <row r="58" spans="1:12" x14ac:dyDescent="0.25">
      <c r="A58" s="15" t="s">
        <v>480</v>
      </c>
      <c r="B58" s="16" t="s">
        <v>418</v>
      </c>
      <c r="C58" s="16" t="s">
        <v>481</v>
      </c>
      <c r="D58" s="16" t="s">
        <v>386</v>
      </c>
      <c r="E58" s="16" t="s">
        <v>372</v>
      </c>
      <c r="F58" s="16" t="s">
        <v>405</v>
      </c>
      <c r="G58" s="29">
        <v>9316</v>
      </c>
      <c r="H58" s="20">
        <v>2.67</v>
      </c>
      <c r="I58" s="22">
        <v>45440</v>
      </c>
      <c r="J58" s="24">
        <f>Estoque[[#This Row],[Qtd Estoque]]*Estoque[[#This Row],[Valor Unitário]]</f>
        <v>24873.719999999998</v>
      </c>
      <c r="K58" s="34">
        <f ca="1">Estoque[[#This Row],[Validade]]-TODAY()</f>
        <v>-670</v>
      </c>
      <c r="L58" s="17" t="str">
        <f ca="1">IF(Estoque[[#This Row],[Dias para Vencer]]&lt;0,"Vencido",IF(Estoque[[#This Row],[Dias para Vencer]] &lt;=30, "Risco de Vencimento","OK"))</f>
        <v>Vencido</v>
      </c>
    </row>
    <row r="59" spans="1:12" x14ac:dyDescent="0.25">
      <c r="A59" s="15" t="s">
        <v>442</v>
      </c>
      <c r="B59" s="16" t="s">
        <v>401</v>
      </c>
      <c r="C59" s="16" t="s">
        <v>482</v>
      </c>
      <c r="D59" s="16" t="s">
        <v>399</v>
      </c>
      <c r="E59" s="16" t="s">
        <v>366</v>
      </c>
      <c r="F59" s="16" t="s">
        <v>417</v>
      </c>
      <c r="G59" s="29">
        <v>3371</v>
      </c>
      <c r="H59" s="20">
        <v>4.1500000000000004</v>
      </c>
      <c r="I59" s="22">
        <v>45441</v>
      </c>
      <c r="J59" s="24">
        <f>Estoque[[#This Row],[Qtd Estoque]]*Estoque[[#This Row],[Valor Unitário]]</f>
        <v>13989.650000000001</v>
      </c>
      <c r="K59" s="34">
        <f ca="1">Estoque[[#This Row],[Validade]]-TODAY()</f>
        <v>-669</v>
      </c>
      <c r="L59" s="17" t="str">
        <f ca="1">IF(Estoque[[#This Row],[Dias para Vencer]]&lt;0,"Vencido",IF(Estoque[[#This Row],[Dias para Vencer]] &lt;=30, "Risco de Vencimento","OK"))</f>
        <v>Vencido</v>
      </c>
    </row>
    <row r="60" spans="1:12" x14ac:dyDescent="0.25">
      <c r="A60" s="15" t="s">
        <v>393</v>
      </c>
      <c r="B60" s="16" t="s">
        <v>389</v>
      </c>
      <c r="C60" s="16" t="s">
        <v>483</v>
      </c>
      <c r="D60" s="16" t="s">
        <v>399</v>
      </c>
      <c r="E60" s="16" t="s">
        <v>366</v>
      </c>
      <c r="F60" s="16" t="s">
        <v>417</v>
      </c>
      <c r="G60" s="29">
        <v>2940</v>
      </c>
      <c r="H60" s="20">
        <v>2.4900000000000002</v>
      </c>
      <c r="I60" s="22">
        <v>46490</v>
      </c>
      <c r="J60" s="24">
        <f>Estoque[[#This Row],[Qtd Estoque]]*Estoque[[#This Row],[Valor Unitário]]</f>
        <v>7320.6</v>
      </c>
      <c r="K60" s="34">
        <f ca="1">Estoque[[#This Row],[Validade]]-TODAY()</f>
        <v>380</v>
      </c>
      <c r="L60" s="17" t="str">
        <f ca="1">IF(Estoque[[#This Row],[Dias para Vencer]]&lt;0,"Vencido",IF(Estoque[[#This Row],[Dias para Vencer]] &lt;=30, "Risco de Vencimento","OK"))</f>
        <v>OK</v>
      </c>
    </row>
    <row r="61" spans="1:12" x14ac:dyDescent="0.25">
      <c r="A61" s="15" t="s">
        <v>397</v>
      </c>
      <c r="B61" s="16" t="s">
        <v>453</v>
      </c>
      <c r="C61" s="16" t="s">
        <v>484</v>
      </c>
      <c r="D61" s="16" t="s">
        <v>386</v>
      </c>
      <c r="E61" s="16" t="s">
        <v>371</v>
      </c>
      <c r="F61" s="16" t="s">
        <v>396</v>
      </c>
      <c r="G61" s="29">
        <v>9283</v>
      </c>
      <c r="H61" s="20">
        <v>7.45</v>
      </c>
      <c r="I61" s="22">
        <v>45535</v>
      </c>
      <c r="J61" s="24">
        <f>Estoque[[#This Row],[Qtd Estoque]]*Estoque[[#This Row],[Valor Unitário]]</f>
        <v>69158.350000000006</v>
      </c>
      <c r="K61" s="34">
        <f ca="1">Estoque[[#This Row],[Validade]]-TODAY()</f>
        <v>-575</v>
      </c>
      <c r="L61" s="17" t="str">
        <f ca="1">IF(Estoque[[#This Row],[Dias para Vencer]]&lt;0,"Vencido",IF(Estoque[[#This Row],[Dias para Vencer]] &lt;=30, "Risco de Vencimento","OK"))</f>
        <v>Vencido</v>
      </c>
    </row>
    <row r="62" spans="1:12" x14ac:dyDescent="0.25">
      <c r="A62" s="15" t="s">
        <v>428</v>
      </c>
      <c r="B62" s="16" t="s">
        <v>411</v>
      </c>
      <c r="C62" s="16" t="s">
        <v>485</v>
      </c>
      <c r="D62" s="16" t="s">
        <v>386</v>
      </c>
      <c r="E62" s="16" t="s">
        <v>371</v>
      </c>
      <c r="F62" s="16" t="s">
        <v>396</v>
      </c>
      <c r="G62" s="29">
        <v>8554</v>
      </c>
      <c r="H62" s="20">
        <v>7.52</v>
      </c>
      <c r="I62" s="22">
        <v>46399</v>
      </c>
      <c r="J62" s="24">
        <f>Estoque[[#This Row],[Qtd Estoque]]*Estoque[[#This Row],[Valor Unitário]]</f>
        <v>64326.079999999994</v>
      </c>
      <c r="K62" s="34">
        <f ca="1">Estoque[[#This Row],[Validade]]-TODAY()</f>
        <v>289</v>
      </c>
      <c r="L62" s="17" t="str">
        <f ca="1">IF(Estoque[[#This Row],[Dias para Vencer]]&lt;0,"Vencido",IF(Estoque[[#This Row],[Dias para Vencer]] &lt;=30, "Risco de Vencimento","OK"))</f>
        <v>OK</v>
      </c>
    </row>
    <row r="63" spans="1:12" x14ac:dyDescent="0.25">
      <c r="A63" s="15" t="s">
        <v>431</v>
      </c>
      <c r="B63" s="16" t="s">
        <v>403</v>
      </c>
      <c r="C63" s="16" t="s">
        <v>486</v>
      </c>
      <c r="D63" s="16" t="s">
        <v>391</v>
      </c>
      <c r="E63" s="16" t="s">
        <v>369</v>
      </c>
      <c r="F63" s="16" t="s">
        <v>427</v>
      </c>
      <c r="G63" s="29">
        <v>4375</v>
      </c>
      <c r="H63" s="20">
        <v>5.7</v>
      </c>
      <c r="I63" s="22">
        <v>46149</v>
      </c>
      <c r="J63" s="24">
        <f>Estoque[[#This Row],[Qtd Estoque]]*Estoque[[#This Row],[Valor Unitário]]</f>
        <v>24937.5</v>
      </c>
      <c r="K63" s="34">
        <f ca="1">Estoque[[#This Row],[Validade]]-TODAY()</f>
        <v>39</v>
      </c>
      <c r="L63" s="17" t="str">
        <f ca="1">IF(Estoque[[#This Row],[Dias para Vencer]]&lt;0,"Vencido",IF(Estoque[[#This Row],[Dias para Vencer]] &lt;=30, "Risco de Vencimento","OK"))</f>
        <v>OK</v>
      </c>
    </row>
    <row r="64" spans="1:12" x14ac:dyDescent="0.25">
      <c r="A64" s="15" t="s">
        <v>393</v>
      </c>
      <c r="B64" s="16" t="s">
        <v>411</v>
      </c>
      <c r="C64" s="16" t="s">
        <v>487</v>
      </c>
      <c r="D64" s="16" t="s">
        <v>399</v>
      </c>
      <c r="E64" s="16" t="s">
        <v>363</v>
      </c>
      <c r="F64" s="16" t="s">
        <v>400</v>
      </c>
      <c r="G64" s="29">
        <v>5547</v>
      </c>
      <c r="H64" s="20">
        <v>3.64</v>
      </c>
      <c r="I64" s="22">
        <v>45329</v>
      </c>
      <c r="J64" s="24">
        <f>Estoque[[#This Row],[Qtd Estoque]]*Estoque[[#This Row],[Valor Unitário]]</f>
        <v>20191.080000000002</v>
      </c>
      <c r="K64" s="34">
        <f ca="1">Estoque[[#This Row],[Validade]]-TODAY()</f>
        <v>-781</v>
      </c>
      <c r="L64" s="17" t="str">
        <f ca="1">IF(Estoque[[#This Row],[Dias para Vencer]]&lt;0,"Vencido",IF(Estoque[[#This Row],[Dias para Vencer]] &lt;=30, "Risco de Vencimento","OK"))</f>
        <v>Vencido</v>
      </c>
    </row>
    <row r="65" spans="1:12" x14ac:dyDescent="0.25">
      <c r="A65" s="15" t="s">
        <v>440</v>
      </c>
      <c r="B65" s="16" t="s">
        <v>403</v>
      </c>
      <c r="C65" s="16" t="s">
        <v>488</v>
      </c>
      <c r="D65" s="16" t="s">
        <v>386</v>
      </c>
      <c r="E65" s="16" t="s">
        <v>371</v>
      </c>
      <c r="F65" s="16" t="s">
        <v>396</v>
      </c>
      <c r="G65" s="29">
        <v>8234</v>
      </c>
      <c r="H65" s="20">
        <v>3.09</v>
      </c>
      <c r="I65" s="22">
        <v>45706</v>
      </c>
      <c r="J65" s="24">
        <f>Estoque[[#This Row],[Qtd Estoque]]*Estoque[[#This Row],[Valor Unitário]]</f>
        <v>25443.059999999998</v>
      </c>
      <c r="K65" s="34">
        <f ca="1">Estoque[[#This Row],[Validade]]-TODAY()</f>
        <v>-404</v>
      </c>
      <c r="L65" s="17" t="str">
        <f ca="1">IF(Estoque[[#This Row],[Dias para Vencer]]&lt;0,"Vencido",IF(Estoque[[#This Row],[Dias para Vencer]] &lt;=30, "Risco de Vencimento","OK"))</f>
        <v>Vencido</v>
      </c>
    </row>
    <row r="66" spans="1:12" x14ac:dyDescent="0.25">
      <c r="A66" s="15" t="s">
        <v>397</v>
      </c>
      <c r="B66" s="16" t="s">
        <v>389</v>
      </c>
      <c r="C66" s="16" t="s">
        <v>489</v>
      </c>
      <c r="D66" s="16" t="s">
        <v>391</v>
      </c>
      <c r="E66" s="16" t="s">
        <v>369</v>
      </c>
      <c r="F66" s="16" t="s">
        <v>427</v>
      </c>
      <c r="G66" s="29">
        <v>8348</v>
      </c>
      <c r="H66" s="20">
        <v>3.05</v>
      </c>
      <c r="I66" s="22">
        <v>45660</v>
      </c>
      <c r="J66" s="24">
        <f>Estoque[[#This Row],[Qtd Estoque]]*Estoque[[#This Row],[Valor Unitário]]</f>
        <v>25461.399999999998</v>
      </c>
      <c r="K66" s="34">
        <f ca="1">Estoque[[#This Row],[Validade]]-TODAY()</f>
        <v>-450</v>
      </c>
      <c r="L66" s="17" t="str">
        <f ca="1">IF(Estoque[[#This Row],[Dias para Vencer]]&lt;0,"Vencido",IF(Estoque[[#This Row],[Dias para Vencer]] &lt;=30, "Risco de Vencimento","OK"))</f>
        <v>Vencido</v>
      </c>
    </row>
    <row r="67" spans="1:12" x14ac:dyDescent="0.25">
      <c r="A67" s="15" t="s">
        <v>428</v>
      </c>
      <c r="B67" s="16" t="s">
        <v>411</v>
      </c>
      <c r="C67" s="16" t="s">
        <v>490</v>
      </c>
      <c r="D67" s="16" t="s">
        <v>399</v>
      </c>
      <c r="E67" s="16" t="s">
        <v>366</v>
      </c>
      <c r="F67" s="16" t="s">
        <v>417</v>
      </c>
      <c r="G67" s="29">
        <v>8822</v>
      </c>
      <c r="H67" s="20">
        <v>7.52</v>
      </c>
      <c r="I67" s="22">
        <v>45993</v>
      </c>
      <c r="J67" s="24">
        <f>Estoque[[#This Row],[Qtd Estoque]]*Estoque[[#This Row],[Valor Unitário]]</f>
        <v>66341.440000000002</v>
      </c>
      <c r="K67" s="34">
        <f ca="1">Estoque[[#This Row],[Validade]]-TODAY()</f>
        <v>-117</v>
      </c>
      <c r="L67" s="17" t="str">
        <f ca="1">IF(Estoque[[#This Row],[Dias para Vencer]]&lt;0,"Vencido",IF(Estoque[[#This Row],[Dias para Vencer]] &lt;=30, "Risco de Vencimento","OK"))</f>
        <v>Vencido</v>
      </c>
    </row>
    <row r="68" spans="1:12" x14ac:dyDescent="0.25">
      <c r="A68" s="15" t="s">
        <v>464</v>
      </c>
      <c r="B68" s="16" t="s">
        <v>403</v>
      </c>
      <c r="C68" s="16" t="s">
        <v>491</v>
      </c>
      <c r="D68" s="16" t="s">
        <v>435</v>
      </c>
      <c r="E68" s="16" t="s">
        <v>367</v>
      </c>
      <c r="F68" s="16" t="s">
        <v>436</v>
      </c>
      <c r="G68" s="29">
        <v>4707</v>
      </c>
      <c r="H68" s="20">
        <v>7.74</v>
      </c>
      <c r="I68" s="22">
        <v>46733</v>
      </c>
      <c r="J68" s="24">
        <f>Estoque[[#This Row],[Qtd Estoque]]*Estoque[[#This Row],[Valor Unitário]]</f>
        <v>36432.18</v>
      </c>
      <c r="K68" s="34">
        <f ca="1">Estoque[[#This Row],[Validade]]-TODAY()</f>
        <v>623</v>
      </c>
      <c r="L68" s="17" t="str">
        <f ca="1">IF(Estoque[[#This Row],[Dias para Vencer]]&lt;0,"Vencido",IF(Estoque[[#This Row],[Dias para Vencer]] &lt;=30, "Risco de Vencimento","OK"))</f>
        <v>OK</v>
      </c>
    </row>
    <row r="69" spans="1:12" x14ac:dyDescent="0.25">
      <c r="A69" s="15" t="s">
        <v>442</v>
      </c>
      <c r="B69" s="16" t="s">
        <v>453</v>
      </c>
      <c r="C69" s="16" t="s">
        <v>492</v>
      </c>
      <c r="D69" s="16" t="s">
        <v>399</v>
      </c>
      <c r="E69" s="16" t="s">
        <v>365</v>
      </c>
      <c r="F69" s="16" t="s">
        <v>414</v>
      </c>
      <c r="G69" s="29">
        <v>7380</v>
      </c>
      <c r="H69" s="20">
        <v>6.76</v>
      </c>
      <c r="I69" s="22">
        <v>46267</v>
      </c>
      <c r="J69" s="24">
        <f>Estoque[[#This Row],[Qtd Estoque]]*Estoque[[#This Row],[Valor Unitário]]</f>
        <v>49888.799999999996</v>
      </c>
      <c r="K69" s="34">
        <f ca="1">Estoque[[#This Row],[Validade]]-TODAY()</f>
        <v>157</v>
      </c>
      <c r="L69" s="17" t="str">
        <f ca="1">IF(Estoque[[#This Row],[Dias para Vencer]]&lt;0,"Vencido",IF(Estoque[[#This Row],[Dias para Vencer]] &lt;=30, "Risco de Vencimento","OK"))</f>
        <v>OK</v>
      </c>
    </row>
    <row r="70" spans="1:12" x14ac:dyDescent="0.25">
      <c r="A70" s="15" t="s">
        <v>406</v>
      </c>
      <c r="B70" s="16" t="s">
        <v>401</v>
      </c>
      <c r="C70" s="16" t="s">
        <v>493</v>
      </c>
      <c r="D70" s="16" t="s">
        <v>386</v>
      </c>
      <c r="E70" s="16" t="s">
        <v>372</v>
      </c>
      <c r="F70" s="16" t="s">
        <v>405</v>
      </c>
      <c r="G70" s="29">
        <v>7608</v>
      </c>
      <c r="H70" s="20">
        <v>9.24</v>
      </c>
      <c r="I70" s="22">
        <v>46310</v>
      </c>
      <c r="J70" s="24">
        <f>Estoque[[#This Row],[Qtd Estoque]]*Estoque[[#This Row],[Valor Unitário]]</f>
        <v>70297.919999999998</v>
      </c>
      <c r="K70" s="34">
        <f ca="1">Estoque[[#This Row],[Validade]]-TODAY()</f>
        <v>200</v>
      </c>
      <c r="L70" s="17" t="str">
        <f ca="1">IF(Estoque[[#This Row],[Dias para Vencer]]&lt;0,"Vencido",IF(Estoque[[#This Row],[Dias para Vencer]] &lt;=30, "Risco de Vencimento","OK"))</f>
        <v>OK</v>
      </c>
    </row>
    <row r="71" spans="1:12" x14ac:dyDescent="0.25">
      <c r="A71" s="15" t="s">
        <v>423</v>
      </c>
      <c r="B71" s="16" t="s">
        <v>411</v>
      </c>
      <c r="C71" s="16" t="s">
        <v>494</v>
      </c>
      <c r="D71" s="16" t="s">
        <v>391</v>
      </c>
      <c r="E71" s="16" t="s">
        <v>369</v>
      </c>
      <c r="F71" s="16" t="s">
        <v>427</v>
      </c>
      <c r="G71" s="29">
        <v>5242</v>
      </c>
      <c r="H71" s="20">
        <v>2.14</v>
      </c>
      <c r="I71" s="22">
        <v>45561</v>
      </c>
      <c r="J71" s="24">
        <f>Estoque[[#This Row],[Qtd Estoque]]*Estoque[[#This Row],[Valor Unitário]]</f>
        <v>11217.880000000001</v>
      </c>
      <c r="K71" s="34">
        <f ca="1">Estoque[[#This Row],[Validade]]-TODAY()</f>
        <v>-549</v>
      </c>
      <c r="L71" s="17" t="str">
        <f ca="1">IF(Estoque[[#This Row],[Dias para Vencer]]&lt;0,"Vencido",IF(Estoque[[#This Row],[Dias para Vencer]] &lt;=30, "Risco de Vencimento","OK"))</f>
        <v>Vencido</v>
      </c>
    </row>
    <row r="72" spans="1:12" x14ac:dyDescent="0.25">
      <c r="A72" s="15" t="s">
        <v>442</v>
      </c>
      <c r="B72" s="16" t="s">
        <v>401</v>
      </c>
      <c r="C72" s="16" t="s">
        <v>495</v>
      </c>
      <c r="D72" s="16" t="s">
        <v>386</v>
      </c>
      <c r="E72" s="16" t="s">
        <v>371</v>
      </c>
      <c r="F72" s="16" t="s">
        <v>396</v>
      </c>
      <c r="G72" s="29">
        <v>2122</v>
      </c>
      <c r="H72" s="20">
        <v>4.1500000000000004</v>
      </c>
      <c r="I72" s="22">
        <v>46404</v>
      </c>
      <c r="J72" s="24">
        <f>Estoque[[#This Row],[Qtd Estoque]]*Estoque[[#This Row],[Valor Unitário]]</f>
        <v>8806.3000000000011</v>
      </c>
      <c r="K72" s="34">
        <f ca="1">Estoque[[#This Row],[Validade]]-TODAY()</f>
        <v>294</v>
      </c>
      <c r="L72" s="17" t="str">
        <f ca="1">IF(Estoque[[#This Row],[Dias para Vencer]]&lt;0,"Vencido",IF(Estoque[[#This Row],[Dias para Vencer]] &lt;=30, "Risco de Vencimento","OK"))</f>
        <v>OK</v>
      </c>
    </row>
    <row r="73" spans="1:12" x14ac:dyDescent="0.25">
      <c r="A73" s="15" t="s">
        <v>397</v>
      </c>
      <c r="B73" s="16" t="s">
        <v>453</v>
      </c>
      <c r="C73" s="16" t="s">
        <v>496</v>
      </c>
      <c r="D73" s="16" t="s">
        <v>435</v>
      </c>
      <c r="E73" s="16" t="s">
        <v>368</v>
      </c>
      <c r="F73" s="16" t="s">
        <v>463</v>
      </c>
      <c r="G73" s="29">
        <v>3389</v>
      </c>
      <c r="H73" s="20">
        <v>7.45</v>
      </c>
      <c r="I73" s="22">
        <v>46305</v>
      </c>
      <c r="J73" s="24">
        <f>Estoque[[#This Row],[Qtd Estoque]]*Estoque[[#This Row],[Valor Unitário]]</f>
        <v>25248.05</v>
      </c>
      <c r="K73" s="34">
        <f ca="1">Estoque[[#This Row],[Validade]]-TODAY()</f>
        <v>195</v>
      </c>
      <c r="L73" s="17" t="str">
        <f ca="1">IF(Estoque[[#This Row],[Dias para Vencer]]&lt;0,"Vencido",IF(Estoque[[#This Row],[Dias para Vencer]] &lt;=30, "Risco de Vencimento","OK"))</f>
        <v>OK</v>
      </c>
    </row>
    <row r="74" spans="1:12" x14ac:dyDescent="0.25">
      <c r="A74" s="15" t="s">
        <v>473</v>
      </c>
      <c r="B74" s="16" t="s">
        <v>394</v>
      </c>
      <c r="C74" s="16" t="s">
        <v>497</v>
      </c>
      <c r="D74" s="16" t="s">
        <v>399</v>
      </c>
      <c r="E74" s="16" t="s">
        <v>363</v>
      </c>
      <c r="F74" s="16" t="s">
        <v>400</v>
      </c>
      <c r="G74" s="29">
        <v>8144</v>
      </c>
      <c r="H74" s="20">
        <v>4.8099999999999996</v>
      </c>
      <c r="I74" s="22">
        <v>45325</v>
      </c>
      <c r="J74" s="24">
        <f>Estoque[[#This Row],[Qtd Estoque]]*Estoque[[#This Row],[Valor Unitário]]</f>
        <v>39172.639999999999</v>
      </c>
      <c r="K74" s="34">
        <f ca="1">Estoque[[#This Row],[Validade]]-TODAY()</f>
        <v>-785</v>
      </c>
      <c r="L74" s="17" t="str">
        <f ca="1">IF(Estoque[[#This Row],[Dias para Vencer]]&lt;0,"Vencido",IF(Estoque[[#This Row],[Dias para Vencer]] &lt;=30, "Risco de Vencimento","OK"))</f>
        <v>Vencido</v>
      </c>
    </row>
    <row r="75" spans="1:12" x14ac:dyDescent="0.25">
      <c r="A75" s="15" t="s">
        <v>406</v>
      </c>
      <c r="B75" s="16" t="s">
        <v>403</v>
      </c>
      <c r="C75" s="16" t="s">
        <v>498</v>
      </c>
      <c r="D75" s="16" t="s">
        <v>399</v>
      </c>
      <c r="E75" s="16" t="s">
        <v>366</v>
      </c>
      <c r="F75" s="16" t="s">
        <v>417</v>
      </c>
      <c r="G75" s="29">
        <v>4380</v>
      </c>
      <c r="H75" s="20">
        <v>6.25</v>
      </c>
      <c r="I75" s="22">
        <v>46503</v>
      </c>
      <c r="J75" s="24">
        <f>Estoque[[#This Row],[Qtd Estoque]]*Estoque[[#This Row],[Valor Unitário]]</f>
        <v>27375</v>
      </c>
      <c r="K75" s="34">
        <f ca="1">Estoque[[#This Row],[Validade]]-TODAY()</f>
        <v>393</v>
      </c>
      <c r="L75" s="17" t="str">
        <f ca="1">IF(Estoque[[#This Row],[Dias para Vencer]]&lt;0,"Vencido",IF(Estoque[[#This Row],[Dias para Vencer]] &lt;=30, "Risco de Vencimento","OK"))</f>
        <v>OK</v>
      </c>
    </row>
    <row r="76" spans="1:12" x14ac:dyDescent="0.25">
      <c r="A76" s="15" t="s">
        <v>440</v>
      </c>
      <c r="B76" s="16" t="s">
        <v>401</v>
      </c>
      <c r="C76" s="16" t="s">
        <v>499</v>
      </c>
      <c r="D76" s="16" t="s">
        <v>391</v>
      </c>
      <c r="E76" s="16" t="s">
        <v>369</v>
      </c>
      <c r="F76" s="16" t="s">
        <v>427</v>
      </c>
      <c r="G76" s="29">
        <v>5201</v>
      </c>
      <c r="H76" s="20">
        <v>6.93</v>
      </c>
      <c r="I76" s="22">
        <v>46495</v>
      </c>
      <c r="J76" s="24">
        <f>Estoque[[#This Row],[Qtd Estoque]]*Estoque[[#This Row],[Valor Unitário]]</f>
        <v>36042.93</v>
      </c>
      <c r="K76" s="34">
        <f ca="1">Estoque[[#This Row],[Validade]]-TODAY()</f>
        <v>385</v>
      </c>
      <c r="L76" s="17" t="str">
        <f ca="1">IF(Estoque[[#This Row],[Dias para Vencer]]&lt;0,"Vencido",IF(Estoque[[#This Row],[Dias para Vencer]] &lt;=30, "Risco de Vencimento","OK"))</f>
        <v>OK</v>
      </c>
    </row>
    <row r="77" spans="1:12" x14ac:dyDescent="0.25">
      <c r="A77" s="15" t="s">
        <v>397</v>
      </c>
      <c r="B77" s="16" t="s">
        <v>403</v>
      </c>
      <c r="C77" s="16" t="s">
        <v>500</v>
      </c>
      <c r="D77" s="16" t="s">
        <v>435</v>
      </c>
      <c r="E77" s="16" t="s">
        <v>368</v>
      </c>
      <c r="F77" s="16" t="s">
        <v>463</v>
      </c>
      <c r="G77" s="29">
        <v>7009</v>
      </c>
      <c r="H77" s="20">
        <v>8.98</v>
      </c>
      <c r="I77" s="22">
        <v>46455</v>
      </c>
      <c r="J77" s="24">
        <f>Estoque[[#This Row],[Qtd Estoque]]*Estoque[[#This Row],[Valor Unitário]]</f>
        <v>62940.82</v>
      </c>
      <c r="K77" s="34">
        <f ca="1">Estoque[[#This Row],[Validade]]-TODAY()</f>
        <v>345</v>
      </c>
      <c r="L77" s="17" t="str">
        <f ca="1">IF(Estoque[[#This Row],[Dias para Vencer]]&lt;0,"Vencido",IF(Estoque[[#This Row],[Dias para Vencer]] &lt;=30, "Risco de Vencimento","OK"))</f>
        <v>OK</v>
      </c>
    </row>
    <row r="78" spans="1:12" x14ac:dyDescent="0.25">
      <c r="A78" s="15" t="s">
        <v>388</v>
      </c>
      <c r="B78" s="16" t="s">
        <v>453</v>
      </c>
      <c r="C78" s="16" t="s">
        <v>501</v>
      </c>
      <c r="D78" s="16" t="s">
        <v>391</v>
      </c>
      <c r="E78" s="16" t="s">
        <v>370</v>
      </c>
      <c r="F78" s="16" t="s">
        <v>392</v>
      </c>
      <c r="G78" s="29">
        <v>8787</v>
      </c>
      <c r="H78" s="20">
        <v>3.6</v>
      </c>
      <c r="I78" s="22">
        <v>46002</v>
      </c>
      <c r="J78" s="24">
        <f>Estoque[[#This Row],[Qtd Estoque]]*Estoque[[#This Row],[Valor Unitário]]</f>
        <v>31633.200000000001</v>
      </c>
      <c r="K78" s="34">
        <f ca="1">Estoque[[#This Row],[Validade]]-TODAY()</f>
        <v>-108</v>
      </c>
      <c r="L78" s="17" t="str">
        <f ca="1">IF(Estoque[[#This Row],[Dias para Vencer]]&lt;0,"Vencido",IF(Estoque[[#This Row],[Dias para Vencer]] &lt;=30, "Risco de Vencimento","OK"))</f>
        <v>Vencido</v>
      </c>
    </row>
    <row r="79" spans="1:12" x14ac:dyDescent="0.25">
      <c r="A79" s="15" t="s">
        <v>428</v>
      </c>
      <c r="B79" s="16" t="s">
        <v>411</v>
      </c>
      <c r="C79" s="16" t="s">
        <v>502</v>
      </c>
      <c r="D79" s="16" t="s">
        <v>386</v>
      </c>
      <c r="E79" s="16" t="s">
        <v>372</v>
      </c>
      <c r="F79" s="16" t="s">
        <v>405</v>
      </c>
      <c r="G79" s="29">
        <v>1126</v>
      </c>
      <c r="H79" s="20">
        <v>7.52</v>
      </c>
      <c r="I79" s="22">
        <v>46375</v>
      </c>
      <c r="J79" s="24">
        <f>Estoque[[#This Row],[Qtd Estoque]]*Estoque[[#This Row],[Valor Unitário]]</f>
        <v>8467.5199999999986</v>
      </c>
      <c r="K79" s="34">
        <f ca="1">Estoque[[#This Row],[Validade]]-TODAY()</f>
        <v>265</v>
      </c>
      <c r="L79" s="17" t="str">
        <f ca="1">IF(Estoque[[#This Row],[Dias para Vencer]]&lt;0,"Vencido",IF(Estoque[[#This Row],[Dias para Vencer]] &lt;=30, "Risco de Vencimento","OK"))</f>
        <v>OK</v>
      </c>
    </row>
    <row r="80" spans="1:12" x14ac:dyDescent="0.25">
      <c r="A80" s="15" t="s">
        <v>437</v>
      </c>
      <c r="B80" s="16" t="s">
        <v>453</v>
      </c>
      <c r="C80" s="16" t="s">
        <v>503</v>
      </c>
      <c r="D80" s="16" t="s">
        <v>435</v>
      </c>
      <c r="E80" s="16" t="s">
        <v>367</v>
      </c>
      <c r="F80" s="16" t="s">
        <v>436</v>
      </c>
      <c r="G80" s="29">
        <v>4702</v>
      </c>
      <c r="H80" s="20">
        <v>8.2100000000000009</v>
      </c>
      <c r="I80" s="22">
        <v>45391</v>
      </c>
      <c r="J80" s="24">
        <f>Estoque[[#This Row],[Qtd Estoque]]*Estoque[[#This Row],[Valor Unitário]]</f>
        <v>38603.420000000006</v>
      </c>
      <c r="K80" s="34">
        <f ca="1">Estoque[[#This Row],[Validade]]-TODAY()</f>
        <v>-719</v>
      </c>
      <c r="L80" s="17" t="str">
        <f ca="1">IF(Estoque[[#This Row],[Dias para Vencer]]&lt;0,"Vencido",IF(Estoque[[#This Row],[Dias para Vencer]] &lt;=30, "Risco de Vencimento","OK"))</f>
        <v>Vencido</v>
      </c>
    </row>
    <row r="81" spans="1:12" x14ac:dyDescent="0.25">
      <c r="A81" s="15" t="s">
        <v>431</v>
      </c>
      <c r="B81" s="16" t="s">
        <v>401</v>
      </c>
      <c r="C81" s="16" t="s">
        <v>504</v>
      </c>
      <c r="D81" s="16" t="s">
        <v>435</v>
      </c>
      <c r="E81" s="16" t="s">
        <v>368</v>
      </c>
      <c r="F81" s="16" t="s">
        <v>463</v>
      </c>
      <c r="G81" s="29">
        <v>3255</v>
      </c>
      <c r="H81" s="20">
        <v>8.85</v>
      </c>
      <c r="I81" s="22">
        <v>46169</v>
      </c>
      <c r="J81" s="24">
        <f>Estoque[[#This Row],[Qtd Estoque]]*Estoque[[#This Row],[Valor Unitário]]</f>
        <v>28806.75</v>
      </c>
      <c r="K81" s="34">
        <f ca="1">Estoque[[#This Row],[Validade]]-TODAY()</f>
        <v>59</v>
      </c>
      <c r="L81" s="17" t="str">
        <f ca="1">IF(Estoque[[#This Row],[Dias para Vencer]]&lt;0,"Vencido",IF(Estoque[[#This Row],[Dias para Vencer]] &lt;=30, "Risco de Vencimento","OK"))</f>
        <v>OK</v>
      </c>
    </row>
    <row r="82" spans="1:12" x14ac:dyDescent="0.25">
      <c r="A82" s="15" t="s">
        <v>431</v>
      </c>
      <c r="B82" s="16" t="s">
        <v>411</v>
      </c>
      <c r="C82" s="16" t="s">
        <v>505</v>
      </c>
      <c r="D82" s="16" t="s">
        <v>399</v>
      </c>
      <c r="E82" s="16" t="s">
        <v>363</v>
      </c>
      <c r="F82" s="16" t="s">
        <v>400</v>
      </c>
      <c r="G82" s="29">
        <v>4559</v>
      </c>
      <c r="H82" s="20">
        <v>6.98</v>
      </c>
      <c r="I82" s="22">
        <v>45344</v>
      </c>
      <c r="J82" s="24">
        <f>Estoque[[#This Row],[Qtd Estoque]]*Estoque[[#This Row],[Valor Unitário]]</f>
        <v>31821.820000000003</v>
      </c>
      <c r="K82" s="34">
        <f ca="1">Estoque[[#This Row],[Validade]]-TODAY()</f>
        <v>-766</v>
      </c>
      <c r="L82" s="17" t="str">
        <f ca="1">IF(Estoque[[#This Row],[Dias para Vencer]]&lt;0,"Vencido",IF(Estoque[[#This Row],[Dias para Vencer]] &lt;=30, "Risco de Vencimento","OK"))</f>
        <v>Vencido</v>
      </c>
    </row>
    <row r="83" spans="1:12" x14ac:dyDescent="0.25">
      <c r="A83" s="15" t="s">
        <v>383</v>
      </c>
      <c r="B83" s="16" t="s">
        <v>418</v>
      </c>
      <c r="C83" s="16" t="s">
        <v>506</v>
      </c>
      <c r="D83" s="16" t="s">
        <v>435</v>
      </c>
      <c r="E83" s="16" t="s">
        <v>367</v>
      </c>
      <c r="F83" s="16" t="s">
        <v>436</v>
      </c>
      <c r="G83" s="29">
        <v>1395</v>
      </c>
      <c r="H83" s="20">
        <v>1.52</v>
      </c>
      <c r="I83" s="22">
        <v>45445</v>
      </c>
      <c r="J83" s="24">
        <f>Estoque[[#This Row],[Qtd Estoque]]*Estoque[[#This Row],[Valor Unitário]]</f>
        <v>2120.4</v>
      </c>
      <c r="K83" s="34">
        <f ca="1">Estoque[[#This Row],[Validade]]-TODAY()</f>
        <v>-665</v>
      </c>
      <c r="L83" s="17" t="str">
        <f ca="1">IF(Estoque[[#This Row],[Dias para Vencer]]&lt;0,"Vencido",IF(Estoque[[#This Row],[Dias para Vencer]] &lt;=30, "Risco de Vencimento","OK"))</f>
        <v>Vencido</v>
      </c>
    </row>
    <row r="84" spans="1:12" x14ac:dyDescent="0.25">
      <c r="A84" s="15" t="s">
        <v>464</v>
      </c>
      <c r="B84" s="16" t="s">
        <v>453</v>
      </c>
      <c r="C84" s="16" t="s">
        <v>507</v>
      </c>
      <c r="D84" s="16" t="s">
        <v>391</v>
      </c>
      <c r="E84" s="16" t="s">
        <v>369</v>
      </c>
      <c r="F84" s="16" t="s">
        <v>427</v>
      </c>
      <c r="G84" s="29">
        <v>3840</v>
      </c>
      <c r="H84" s="20">
        <v>3.52</v>
      </c>
      <c r="I84" s="22">
        <v>45302</v>
      </c>
      <c r="J84" s="24">
        <f>Estoque[[#This Row],[Qtd Estoque]]*Estoque[[#This Row],[Valor Unitário]]</f>
        <v>13516.8</v>
      </c>
      <c r="K84" s="34">
        <f ca="1">Estoque[[#This Row],[Validade]]-TODAY()</f>
        <v>-808</v>
      </c>
      <c r="L84" s="17" t="str">
        <f ca="1">IF(Estoque[[#This Row],[Dias para Vencer]]&lt;0,"Vencido",IF(Estoque[[#This Row],[Dias para Vencer]] &lt;=30, "Risco de Vencimento","OK"))</f>
        <v>Vencido</v>
      </c>
    </row>
    <row r="85" spans="1:12" x14ac:dyDescent="0.25">
      <c r="A85" s="15" t="s">
        <v>421</v>
      </c>
      <c r="B85" s="16" t="s">
        <v>401</v>
      </c>
      <c r="C85" s="16" t="s">
        <v>508</v>
      </c>
      <c r="D85" s="16" t="s">
        <v>435</v>
      </c>
      <c r="E85" s="16" t="s">
        <v>367</v>
      </c>
      <c r="F85" s="16" t="s">
        <v>436</v>
      </c>
      <c r="G85" s="29">
        <v>8609</v>
      </c>
      <c r="H85" s="20">
        <v>3.26</v>
      </c>
      <c r="I85" s="22">
        <v>45426</v>
      </c>
      <c r="J85" s="24">
        <f>Estoque[[#This Row],[Qtd Estoque]]*Estoque[[#This Row],[Valor Unitário]]</f>
        <v>28065.339999999997</v>
      </c>
      <c r="K85" s="34">
        <f ca="1">Estoque[[#This Row],[Validade]]-TODAY()</f>
        <v>-684</v>
      </c>
      <c r="L85" s="17" t="str">
        <f ca="1">IF(Estoque[[#This Row],[Dias para Vencer]]&lt;0,"Vencido",IF(Estoque[[#This Row],[Dias para Vencer]] &lt;=30, "Risco de Vencimento","OK"))</f>
        <v>Vencido</v>
      </c>
    </row>
    <row r="86" spans="1:12" x14ac:dyDescent="0.25">
      <c r="A86" s="15" t="s">
        <v>509</v>
      </c>
      <c r="B86" s="16" t="s">
        <v>394</v>
      </c>
      <c r="C86" s="16" t="s">
        <v>510</v>
      </c>
      <c r="D86" s="16" t="s">
        <v>435</v>
      </c>
      <c r="E86" s="16" t="s">
        <v>368</v>
      </c>
      <c r="F86" s="16" t="s">
        <v>463</v>
      </c>
      <c r="G86" s="29">
        <v>9606</v>
      </c>
      <c r="H86" s="20">
        <v>5.55</v>
      </c>
      <c r="I86" s="22">
        <v>46076</v>
      </c>
      <c r="J86" s="24">
        <f>Estoque[[#This Row],[Qtd Estoque]]*Estoque[[#This Row],[Valor Unitário]]</f>
        <v>53313.299999999996</v>
      </c>
      <c r="K86" s="34">
        <f ca="1">Estoque[[#This Row],[Validade]]-TODAY()</f>
        <v>-34</v>
      </c>
      <c r="L86" s="17" t="str">
        <f ca="1">IF(Estoque[[#This Row],[Dias para Vencer]]&lt;0,"Vencido",IF(Estoque[[#This Row],[Dias para Vencer]] &lt;=30, "Risco de Vencimento","OK"))</f>
        <v>Vencido</v>
      </c>
    </row>
    <row r="87" spans="1:12" x14ac:dyDescent="0.25">
      <c r="A87" s="15" t="s">
        <v>393</v>
      </c>
      <c r="B87" s="16" t="s">
        <v>453</v>
      </c>
      <c r="C87" s="16" t="s">
        <v>511</v>
      </c>
      <c r="D87" s="16" t="s">
        <v>386</v>
      </c>
      <c r="E87" s="16" t="s">
        <v>371</v>
      </c>
      <c r="F87" s="16" t="s">
        <v>396</v>
      </c>
      <c r="G87" s="29">
        <v>7767</v>
      </c>
      <c r="H87" s="20">
        <v>7.14</v>
      </c>
      <c r="I87" s="22">
        <v>46282</v>
      </c>
      <c r="J87" s="24">
        <f>Estoque[[#This Row],[Qtd Estoque]]*Estoque[[#This Row],[Valor Unitário]]</f>
        <v>55456.38</v>
      </c>
      <c r="K87" s="34">
        <f ca="1">Estoque[[#This Row],[Validade]]-TODAY()</f>
        <v>172</v>
      </c>
      <c r="L87" s="17" t="str">
        <f ca="1">IF(Estoque[[#This Row],[Dias para Vencer]]&lt;0,"Vencido",IF(Estoque[[#This Row],[Dias para Vencer]] &lt;=30, "Risco de Vencimento","OK"))</f>
        <v>OK</v>
      </c>
    </row>
    <row r="88" spans="1:12" x14ac:dyDescent="0.25">
      <c r="A88" s="15" t="s">
        <v>480</v>
      </c>
      <c r="B88" s="16" t="s">
        <v>394</v>
      </c>
      <c r="C88" s="16" t="s">
        <v>512</v>
      </c>
      <c r="D88" s="16" t="s">
        <v>435</v>
      </c>
      <c r="E88" s="16" t="s">
        <v>368</v>
      </c>
      <c r="F88" s="16" t="s">
        <v>463</v>
      </c>
      <c r="G88" s="29">
        <v>6688</v>
      </c>
      <c r="H88" s="20">
        <v>1.69</v>
      </c>
      <c r="I88" s="22">
        <v>46364</v>
      </c>
      <c r="J88" s="24">
        <f>Estoque[[#This Row],[Qtd Estoque]]*Estoque[[#This Row],[Valor Unitário]]</f>
        <v>11302.72</v>
      </c>
      <c r="K88" s="34">
        <f ca="1">Estoque[[#This Row],[Validade]]-TODAY()</f>
        <v>254</v>
      </c>
      <c r="L88" s="17" t="str">
        <f ca="1">IF(Estoque[[#This Row],[Dias para Vencer]]&lt;0,"Vencido",IF(Estoque[[#This Row],[Dias para Vencer]] &lt;=30, "Risco de Vencimento","OK"))</f>
        <v>OK</v>
      </c>
    </row>
    <row r="89" spans="1:12" x14ac:dyDescent="0.25">
      <c r="A89" s="15" t="s">
        <v>388</v>
      </c>
      <c r="B89" s="16" t="s">
        <v>401</v>
      </c>
      <c r="C89" s="16" t="s">
        <v>513</v>
      </c>
      <c r="D89" s="16" t="s">
        <v>399</v>
      </c>
      <c r="E89" s="16" t="s">
        <v>364</v>
      </c>
      <c r="F89" s="16" t="s">
        <v>408</v>
      </c>
      <c r="G89" s="29">
        <v>8587</v>
      </c>
      <c r="H89" s="20">
        <v>4.66</v>
      </c>
      <c r="I89" s="22">
        <v>46527</v>
      </c>
      <c r="J89" s="24">
        <f>Estoque[[#This Row],[Qtd Estoque]]*Estoque[[#This Row],[Valor Unitário]]</f>
        <v>40015.42</v>
      </c>
      <c r="K89" s="34">
        <f ca="1">Estoque[[#This Row],[Validade]]-TODAY()</f>
        <v>417</v>
      </c>
      <c r="L89" s="17" t="str">
        <f ca="1">IF(Estoque[[#This Row],[Dias para Vencer]]&lt;0,"Vencido",IF(Estoque[[#This Row],[Dias para Vencer]] &lt;=30, "Risco de Vencimento","OK"))</f>
        <v>OK</v>
      </c>
    </row>
    <row r="90" spans="1:12" x14ac:dyDescent="0.25">
      <c r="A90" s="15" t="s">
        <v>425</v>
      </c>
      <c r="B90" s="16" t="s">
        <v>401</v>
      </c>
      <c r="C90" s="16" t="s">
        <v>514</v>
      </c>
      <c r="D90" s="16" t="s">
        <v>391</v>
      </c>
      <c r="E90" s="16" t="s">
        <v>370</v>
      </c>
      <c r="F90" s="16" t="s">
        <v>392</v>
      </c>
      <c r="G90" s="29">
        <v>4738</v>
      </c>
      <c r="H90" s="20">
        <v>2.78</v>
      </c>
      <c r="I90" s="22">
        <v>45968</v>
      </c>
      <c r="J90" s="24">
        <f>Estoque[[#This Row],[Qtd Estoque]]*Estoque[[#This Row],[Valor Unitário]]</f>
        <v>13171.64</v>
      </c>
      <c r="K90" s="34">
        <f ca="1">Estoque[[#This Row],[Validade]]-TODAY()</f>
        <v>-142</v>
      </c>
      <c r="L90" s="17" t="str">
        <f ca="1">IF(Estoque[[#This Row],[Dias para Vencer]]&lt;0,"Vencido",IF(Estoque[[#This Row],[Dias para Vencer]] &lt;=30, "Risco de Vencimento","OK"))</f>
        <v>Vencido</v>
      </c>
    </row>
    <row r="91" spans="1:12" x14ac:dyDescent="0.25">
      <c r="A91" s="15" t="s">
        <v>423</v>
      </c>
      <c r="B91" s="16" t="s">
        <v>453</v>
      </c>
      <c r="C91" s="16" t="s">
        <v>515</v>
      </c>
      <c r="D91" s="16" t="s">
        <v>391</v>
      </c>
      <c r="E91" s="16" t="s">
        <v>369</v>
      </c>
      <c r="F91" s="16" t="s">
        <v>427</v>
      </c>
      <c r="G91" s="29">
        <v>7654</v>
      </c>
      <c r="H91" s="20">
        <v>1.91</v>
      </c>
      <c r="I91" s="22">
        <v>45354</v>
      </c>
      <c r="J91" s="24">
        <f>Estoque[[#This Row],[Qtd Estoque]]*Estoque[[#This Row],[Valor Unitário]]</f>
        <v>14619.14</v>
      </c>
      <c r="K91" s="34">
        <f ca="1">Estoque[[#This Row],[Validade]]-TODAY()</f>
        <v>-756</v>
      </c>
      <c r="L91" s="17" t="str">
        <f ca="1">IF(Estoque[[#This Row],[Dias para Vencer]]&lt;0,"Vencido",IF(Estoque[[#This Row],[Dias para Vencer]] &lt;=30, "Risco de Vencimento","OK"))</f>
        <v>Vencido</v>
      </c>
    </row>
    <row r="92" spans="1:12" x14ac:dyDescent="0.25">
      <c r="A92" s="15" t="s">
        <v>423</v>
      </c>
      <c r="B92" s="16" t="s">
        <v>453</v>
      </c>
      <c r="C92" s="16" t="s">
        <v>516</v>
      </c>
      <c r="D92" s="16" t="s">
        <v>391</v>
      </c>
      <c r="E92" s="16" t="s">
        <v>369</v>
      </c>
      <c r="F92" s="16" t="s">
        <v>427</v>
      </c>
      <c r="G92" s="29">
        <v>7649</v>
      </c>
      <c r="H92" s="20">
        <v>1.91</v>
      </c>
      <c r="I92" s="22">
        <v>45605</v>
      </c>
      <c r="J92" s="24">
        <f>Estoque[[#This Row],[Qtd Estoque]]*Estoque[[#This Row],[Valor Unitário]]</f>
        <v>14609.59</v>
      </c>
      <c r="K92" s="34">
        <f ca="1">Estoque[[#This Row],[Validade]]-TODAY()</f>
        <v>-505</v>
      </c>
      <c r="L92" s="17" t="str">
        <f ca="1">IF(Estoque[[#This Row],[Dias para Vencer]]&lt;0,"Vencido",IF(Estoque[[#This Row],[Dias para Vencer]] &lt;=30, "Risco de Vencimento","OK"))</f>
        <v>Vencido</v>
      </c>
    </row>
    <row r="93" spans="1:12" x14ac:dyDescent="0.25">
      <c r="A93" s="15" t="s">
        <v>388</v>
      </c>
      <c r="B93" s="16" t="s">
        <v>418</v>
      </c>
      <c r="C93" s="16" t="s">
        <v>517</v>
      </c>
      <c r="D93" s="16" t="s">
        <v>435</v>
      </c>
      <c r="E93" s="16" t="s">
        <v>368</v>
      </c>
      <c r="F93" s="16" t="s">
        <v>463</v>
      </c>
      <c r="G93" s="29">
        <v>3956</v>
      </c>
      <c r="H93" s="20">
        <v>2.76</v>
      </c>
      <c r="I93" s="22">
        <v>46354</v>
      </c>
      <c r="J93" s="24">
        <f>Estoque[[#This Row],[Qtd Estoque]]*Estoque[[#This Row],[Valor Unitário]]</f>
        <v>10918.56</v>
      </c>
      <c r="K93" s="34">
        <f ca="1">Estoque[[#This Row],[Validade]]-TODAY()</f>
        <v>244</v>
      </c>
      <c r="L93" s="17" t="str">
        <f ca="1">IF(Estoque[[#This Row],[Dias para Vencer]]&lt;0,"Vencido",IF(Estoque[[#This Row],[Dias para Vencer]] &lt;=30, "Risco de Vencimento","OK"))</f>
        <v>OK</v>
      </c>
    </row>
    <row r="94" spans="1:12" x14ac:dyDescent="0.25">
      <c r="A94" s="15" t="s">
        <v>388</v>
      </c>
      <c r="B94" s="16" t="s">
        <v>433</v>
      </c>
      <c r="C94" s="16" t="s">
        <v>518</v>
      </c>
      <c r="D94" s="16" t="s">
        <v>435</v>
      </c>
      <c r="E94" s="16" t="s">
        <v>367</v>
      </c>
      <c r="F94" s="16" t="s">
        <v>436</v>
      </c>
      <c r="G94" s="29">
        <v>7659</v>
      </c>
      <c r="H94" s="20">
        <v>8.42</v>
      </c>
      <c r="I94" s="22">
        <v>46081</v>
      </c>
      <c r="J94" s="24">
        <f>Estoque[[#This Row],[Qtd Estoque]]*Estoque[[#This Row],[Valor Unitário]]</f>
        <v>64488.78</v>
      </c>
      <c r="K94" s="34">
        <f ca="1">Estoque[[#This Row],[Validade]]-TODAY()</f>
        <v>-29</v>
      </c>
      <c r="L94" s="17" t="str">
        <f ca="1">IF(Estoque[[#This Row],[Dias para Vencer]]&lt;0,"Vencido",IF(Estoque[[#This Row],[Dias para Vencer]] &lt;=30, "Risco de Vencimento","OK"))</f>
        <v>Vencido</v>
      </c>
    </row>
    <row r="95" spans="1:12" x14ac:dyDescent="0.25">
      <c r="A95" s="15" t="s">
        <v>425</v>
      </c>
      <c r="B95" s="16" t="s">
        <v>394</v>
      </c>
      <c r="C95" s="16" t="s">
        <v>519</v>
      </c>
      <c r="D95" s="16" t="s">
        <v>435</v>
      </c>
      <c r="E95" s="16" t="s">
        <v>368</v>
      </c>
      <c r="F95" s="16" t="s">
        <v>463</v>
      </c>
      <c r="G95" s="29">
        <v>5564</v>
      </c>
      <c r="H95" s="20">
        <v>4.46</v>
      </c>
      <c r="I95" s="22">
        <v>46177</v>
      </c>
      <c r="J95" s="24">
        <f>Estoque[[#This Row],[Qtd Estoque]]*Estoque[[#This Row],[Valor Unitário]]</f>
        <v>24815.439999999999</v>
      </c>
      <c r="K95" s="34">
        <f ca="1">Estoque[[#This Row],[Validade]]-TODAY()</f>
        <v>67</v>
      </c>
      <c r="L95" s="17" t="str">
        <f ca="1">IF(Estoque[[#This Row],[Dias para Vencer]]&lt;0,"Vencido",IF(Estoque[[#This Row],[Dias para Vencer]] &lt;=30, "Risco de Vencimento","OK"))</f>
        <v>OK</v>
      </c>
    </row>
    <row r="96" spans="1:12" x14ac:dyDescent="0.25">
      <c r="A96" s="15" t="s">
        <v>440</v>
      </c>
      <c r="B96" s="16" t="s">
        <v>411</v>
      </c>
      <c r="C96" s="16" t="s">
        <v>520</v>
      </c>
      <c r="D96" s="16" t="s">
        <v>399</v>
      </c>
      <c r="E96" s="16" t="s">
        <v>366</v>
      </c>
      <c r="F96" s="16" t="s">
        <v>417</v>
      </c>
      <c r="G96" s="29">
        <v>2164</v>
      </c>
      <c r="H96" s="20">
        <v>6.98</v>
      </c>
      <c r="I96" s="22">
        <v>45507</v>
      </c>
      <c r="J96" s="24">
        <f>Estoque[[#This Row],[Qtd Estoque]]*Estoque[[#This Row],[Valor Unitário]]</f>
        <v>15104.720000000001</v>
      </c>
      <c r="K96" s="34">
        <f ca="1">Estoque[[#This Row],[Validade]]-TODAY()</f>
        <v>-603</v>
      </c>
      <c r="L96" s="17" t="str">
        <f ca="1">IF(Estoque[[#This Row],[Dias para Vencer]]&lt;0,"Vencido",IF(Estoque[[#This Row],[Dias para Vencer]] &lt;=30, "Risco de Vencimento","OK"))</f>
        <v>Vencido</v>
      </c>
    </row>
    <row r="97" spans="1:12" x14ac:dyDescent="0.25">
      <c r="A97" s="15" t="s">
        <v>428</v>
      </c>
      <c r="B97" s="16" t="s">
        <v>453</v>
      </c>
      <c r="C97" s="16" t="s">
        <v>521</v>
      </c>
      <c r="D97" s="16" t="s">
        <v>435</v>
      </c>
      <c r="E97" s="16" t="s">
        <v>367</v>
      </c>
      <c r="F97" s="16" t="s">
        <v>436</v>
      </c>
      <c r="G97" s="29">
        <v>5039</v>
      </c>
      <c r="H97" s="20">
        <v>8.9499999999999993</v>
      </c>
      <c r="I97" s="22">
        <v>45623</v>
      </c>
      <c r="J97" s="24">
        <f>Estoque[[#This Row],[Qtd Estoque]]*Estoque[[#This Row],[Valor Unitário]]</f>
        <v>45099.049999999996</v>
      </c>
      <c r="K97" s="34">
        <f ca="1">Estoque[[#This Row],[Validade]]-TODAY()</f>
        <v>-487</v>
      </c>
      <c r="L97" s="17" t="str">
        <f ca="1">IF(Estoque[[#This Row],[Dias para Vencer]]&lt;0,"Vencido",IF(Estoque[[#This Row],[Dias para Vencer]] &lt;=30, "Risco de Vencimento","OK"))</f>
        <v>Vencido</v>
      </c>
    </row>
    <row r="98" spans="1:12" x14ac:dyDescent="0.25">
      <c r="A98" s="15" t="s">
        <v>442</v>
      </c>
      <c r="B98" s="16" t="s">
        <v>389</v>
      </c>
      <c r="C98" s="16" t="s">
        <v>522</v>
      </c>
      <c r="D98" s="16" t="s">
        <v>399</v>
      </c>
      <c r="E98" s="16" t="s">
        <v>363</v>
      </c>
      <c r="F98" s="16" t="s">
        <v>400</v>
      </c>
      <c r="G98" s="29">
        <v>6561</v>
      </c>
      <c r="H98" s="20">
        <v>7.13</v>
      </c>
      <c r="I98" s="22">
        <v>46497</v>
      </c>
      <c r="J98" s="24">
        <f>Estoque[[#This Row],[Qtd Estoque]]*Estoque[[#This Row],[Valor Unitário]]</f>
        <v>46779.93</v>
      </c>
      <c r="K98" s="34">
        <f ca="1">Estoque[[#This Row],[Validade]]-TODAY()</f>
        <v>387</v>
      </c>
      <c r="L98" s="17" t="str">
        <f ca="1">IF(Estoque[[#This Row],[Dias para Vencer]]&lt;0,"Vencido",IF(Estoque[[#This Row],[Dias para Vencer]] &lt;=30, "Risco de Vencimento","OK"))</f>
        <v>OK</v>
      </c>
    </row>
    <row r="99" spans="1:12" x14ac:dyDescent="0.25">
      <c r="A99" s="15" t="s">
        <v>406</v>
      </c>
      <c r="B99" s="16" t="s">
        <v>401</v>
      </c>
      <c r="C99" s="16" t="s">
        <v>523</v>
      </c>
      <c r="D99" s="16" t="s">
        <v>391</v>
      </c>
      <c r="E99" s="16" t="s">
        <v>369</v>
      </c>
      <c r="F99" s="16" t="s">
        <v>427</v>
      </c>
      <c r="G99" s="29">
        <v>8551</v>
      </c>
      <c r="H99" s="20">
        <v>9.24</v>
      </c>
      <c r="I99" s="22">
        <v>46313</v>
      </c>
      <c r="J99" s="24">
        <f>Estoque[[#This Row],[Qtd Estoque]]*Estoque[[#This Row],[Valor Unitário]]</f>
        <v>79011.240000000005</v>
      </c>
      <c r="K99" s="34">
        <f ca="1">Estoque[[#This Row],[Validade]]-TODAY()</f>
        <v>203</v>
      </c>
      <c r="L99" s="17" t="str">
        <f ca="1">IF(Estoque[[#This Row],[Dias para Vencer]]&lt;0,"Vencido",IF(Estoque[[#This Row],[Dias para Vencer]] &lt;=30, "Risco de Vencimento","OK"))</f>
        <v>OK</v>
      </c>
    </row>
    <row r="100" spans="1:12" x14ac:dyDescent="0.25">
      <c r="A100" s="15" t="s">
        <v>383</v>
      </c>
      <c r="B100" s="16" t="s">
        <v>433</v>
      </c>
      <c r="C100" s="16" t="s">
        <v>524</v>
      </c>
      <c r="D100" s="16" t="s">
        <v>435</v>
      </c>
      <c r="E100" s="16" t="s">
        <v>367</v>
      </c>
      <c r="F100" s="16" t="s">
        <v>436</v>
      </c>
      <c r="G100" s="29">
        <v>7401</v>
      </c>
      <c r="H100" s="20">
        <v>7.52</v>
      </c>
      <c r="I100" s="22">
        <v>45741</v>
      </c>
      <c r="J100" s="24">
        <f>Estoque[[#This Row],[Qtd Estoque]]*Estoque[[#This Row],[Valor Unitário]]</f>
        <v>55655.519999999997</v>
      </c>
      <c r="K100" s="34">
        <f ca="1">Estoque[[#This Row],[Validade]]-TODAY()</f>
        <v>-369</v>
      </c>
      <c r="L100" s="17" t="str">
        <f ca="1">IF(Estoque[[#This Row],[Dias para Vencer]]&lt;0,"Vencido",IF(Estoque[[#This Row],[Dias para Vencer]] &lt;=30, "Risco de Vencimento","OK"))</f>
        <v>Vencido</v>
      </c>
    </row>
    <row r="101" spans="1:12" x14ac:dyDescent="0.25">
      <c r="A101" s="15" t="s">
        <v>480</v>
      </c>
      <c r="B101" s="16" t="s">
        <v>401</v>
      </c>
      <c r="C101" s="16" t="s">
        <v>525</v>
      </c>
      <c r="D101" s="16" t="s">
        <v>435</v>
      </c>
      <c r="E101" s="16" t="s">
        <v>368</v>
      </c>
      <c r="F101" s="16" t="s">
        <v>463</v>
      </c>
      <c r="G101" s="29">
        <v>6612</v>
      </c>
      <c r="H101" s="20">
        <v>7.19</v>
      </c>
      <c r="I101" s="22">
        <v>46620</v>
      </c>
      <c r="J101" s="24">
        <f>Estoque[[#This Row],[Qtd Estoque]]*Estoque[[#This Row],[Valor Unitário]]</f>
        <v>47540.280000000006</v>
      </c>
      <c r="K101" s="34">
        <f ca="1">Estoque[[#This Row],[Validade]]-TODAY()</f>
        <v>510</v>
      </c>
      <c r="L101" s="17" t="str">
        <f ca="1">IF(Estoque[[#This Row],[Dias para Vencer]]&lt;0,"Vencido",IF(Estoque[[#This Row],[Dias para Vencer]] &lt;=30, "Risco de Vencimento","OK"))</f>
        <v>OK</v>
      </c>
    </row>
    <row r="102" spans="1:12" x14ac:dyDescent="0.25">
      <c r="A102" s="15" t="s">
        <v>480</v>
      </c>
      <c r="B102" s="16" t="s">
        <v>453</v>
      </c>
      <c r="C102" s="16" t="s">
        <v>526</v>
      </c>
      <c r="D102" s="16" t="s">
        <v>386</v>
      </c>
      <c r="E102" s="16" t="s">
        <v>371</v>
      </c>
      <c r="F102" s="16" t="s">
        <v>396</v>
      </c>
      <c r="G102" s="29">
        <v>3384</v>
      </c>
      <c r="H102" s="20">
        <v>7.77</v>
      </c>
      <c r="I102" s="22">
        <v>46084</v>
      </c>
      <c r="J102" s="24">
        <f>Estoque[[#This Row],[Qtd Estoque]]*Estoque[[#This Row],[Valor Unitário]]</f>
        <v>26293.68</v>
      </c>
      <c r="K102" s="34">
        <f ca="1">Estoque[[#This Row],[Validade]]-TODAY()</f>
        <v>-26</v>
      </c>
      <c r="L102" s="17" t="str">
        <f ca="1">IF(Estoque[[#This Row],[Dias para Vencer]]&lt;0,"Vencido",IF(Estoque[[#This Row],[Dias para Vencer]] &lt;=30, "Risco de Vencimento","OK"))</f>
        <v>Vencido</v>
      </c>
    </row>
    <row r="103" spans="1:12" x14ac:dyDescent="0.25">
      <c r="A103" s="15" t="s">
        <v>423</v>
      </c>
      <c r="B103" s="16" t="s">
        <v>389</v>
      </c>
      <c r="C103" s="16" t="s">
        <v>527</v>
      </c>
      <c r="D103" s="16" t="s">
        <v>399</v>
      </c>
      <c r="E103" s="16" t="s">
        <v>364</v>
      </c>
      <c r="F103" s="16" t="s">
        <v>408</v>
      </c>
      <c r="G103" s="29">
        <v>1686</v>
      </c>
      <c r="H103" s="20">
        <v>1.65</v>
      </c>
      <c r="I103" s="22">
        <v>45474</v>
      </c>
      <c r="J103" s="24">
        <f>Estoque[[#This Row],[Qtd Estoque]]*Estoque[[#This Row],[Valor Unitário]]</f>
        <v>2781.8999999999996</v>
      </c>
      <c r="K103" s="34">
        <f ca="1">Estoque[[#This Row],[Validade]]-TODAY()</f>
        <v>-636</v>
      </c>
      <c r="L103" s="17" t="str">
        <f ca="1">IF(Estoque[[#This Row],[Dias para Vencer]]&lt;0,"Vencido",IF(Estoque[[#This Row],[Dias para Vencer]] &lt;=30, "Risco de Vencimento","OK"))</f>
        <v>Vencido</v>
      </c>
    </row>
    <row r="104" spans="1:12" x14ac:dyDescent="0.25">
      <c r="A104" s="15" t="s">
        <v>425</v>
      </c>
      <c r="B104" s="16" t="s">
        <v>411</v>
      </c>
      <c r="C104" s="16" t="s">
        <v>528</v>
      </c>
      <c r="D104" s="16" t="s">
        <v>399</v>
      </c>
      <c r="E104" s="16" t="s">
        <v>366</v>
      </c>
      <c r="F104" s="16" t="s">
        <v>417</v>
      </c>
      <c r="G104" s="29">
        <v>6967</v>
      </c>
      <c r="H104" s="20">
        <v>3.74</v>
      </c>
      <c r="I104" s="22">
        <v>45321</v>
      </c>
      <c r="J104" s="24">
        <f>Estoque[[#This Row],[Qtd Estoque]]*Estoque[[#This Row],[Valor Unitário]]</f>
        <v>26056.58</v>
      </c>
      <c r="K104" s="34">
        <f ca="1">Estoque[[#This Row],[Validade]]-TODAY()</f>
        <v>-789</v>
      </c>
      <c r="L104" s="17" t="str">
        <f ca="1">IF(Estoque[[#This Row],[Dias para Vencer]]&lt;0,"Vencido",IF(Estoque[[#This Row],[Dias para Vencer]] &lt;=30, "Risco de Vencimento","OK"))</f>
        <v>Vencido</v>
      </c>
    </row>
    <row r="105" spans="1:12" x14ac:dyDescent="0.25">
      <c r="A105" s="15" t="s">
        <v>442</v>
      </c>
      <c r="B105" s="16" t="s">
        <v>411</v>
      </c>
      <c r="C105" s="16" t="s">
        <v>529</v>
      </c>
      <c r="D105" s="16" t="s">
        <v>386</v>
      </c>
      <c r="E105" s="16" t="s">
        <v>371</v>
      </c>
      <c r="F105" s="16" t="s">
        <v>396</v>
      </c>
      <c r="G105" s="29">
        <v>5597</v>
      </c>
      <c r="H105" s="20">
        <v>5</v>
      </c>
      <c r="I105" s="22">
        <v>46422</v>
      </c>
      <c r="J105" s="24">
        <f>Estoque[[#This Row],[Qtd Estoque]]*Estoque[[#This Row],[Valor Unitário]]</f>
        <v>27985</v>
      </c>
      <c r="K105" s="34">
        <f ca="1">Estoque[[#This Row],[Validade]]-TODAY()</f>
        <v>312</v>
      </c>
      <c r="L105" s="17" t="str">
        <f ca="1">IF(Estoque[[#This Row],[Dias para Vencer]]&lt;0,"Vencido",IF(Estoque[[#This Row],[Dias para Vencer]] &lt;=30, "Risco de Vencimento","OK"))</f>
        <v>OK</v>
      </c>
    </row>
    <row r="106" spans="1:12" x14ac:dyDescent="0.25">
      <c r="A106" s="15" t="s">
        <v>473</v>
      </c>
      <c r="B106" s="16" t="s">
        <v>401</v>
      </c>
      <c r="C106" s="16" t="s">
        <v>530</v>
      </c>
      <c r="D106" s="16" t="s">
        <v>399</v>
      </c>
      <c r="E106" s="16" t="s">
        <v>365</v>
      </c>
      <c r="F106" s="16" t="s">
        <v>414</v>
      </c>
      <c r="G106" s="29">
        <v>7122</v>
      </c>
      <c r="H106" s="20">
        <v>3.12</v>
      </c>
      <c r="I106" s="22">
        <v>46067</v>
      </c>
      <c r="J106" s="24">
        <f>Estoque[[#This Row],[Qtd Estoque]]*Estoque[[#This Row],[Valor Unitário]]</f>
        <v>22220.639999999999</v>
      </c>
      <c r="K106" s="34">
        <f ca="1">Estoque[[#This Row],[Validade]]-TODAY()</f>
        <v>-43</v>
      </c>
      <c r="L106" s="17" t="str">
        <f ca="1">IF(Estoque[[#This Row],[Dias para Vencer]]&lt;0,"Vencido",IF(Estoque[[#This Row],[Dias para Vencer]] &lt;=30, "Risco de Vencimento","OK"))</f>
        <v>Vencido</v>
      </c>
    </row>
    <row r="107" spans="1:12" x14ac:dyDescent="0.25">
      <c r="A107" s="15" t="s">
        <v>473</v>
      </c>
      <c r="B107" s="16" t="s">
        <v>418</v>
      </c>
      <c r="C107" s="16" t="s">
        <v>531</v>
      </c>
      <c r="D107" s="16" t="s">
        <v>435</v>
      </c>
      <c r="E107" s="16" t="s">
        <v>368</v>
      </c>
      <c r="F107" s="16" t="s">
        <v>463</v>
      </c>
      <c r="G107" s="29">
        <v>7842</v>
      </c>
      <c r="H107" s="20">
        <v>1.92</v>
      </c>
      <c r="I107" s="22">
        <v>46731</v>
      </c>
      <c r="J107" s="24">
        <f>Estoque[[#This Row],[Qtd Estoque]]*Estoque[[#This Row],[Valor Unitário]]</f>
        <v>15056.64</v>
      </c>
      <c r="K107" s="34">
        <f ca="1">Estoque[[#This Row],[Validade]]-TODAY()</f>
        <v>621</v>
      </c>
      <c r="L107" s="17" t="str">
        <f ca="1">IF(Estoque[[#This Row],[Dias para Vencer]]&lt;0,"Vencido",IF(Estoque[[#This Row],[Dias para Vencer]] &lt;=30, "Risco de Vencimento","OK"))</f>
        <v>OK</v>
      </c>
    </row>
    <row r="108" spans="1:12" x14ac:dyDescent="0.25">
      <c r="A108" s="15" t="s">
        <v>388</v>
      </c>
      <c r="B108" s="16" t="s">
        <v>418</v>
      </c>
      <c r="C108" s="16" t="s">
        <v>532</v>
      </c>
      <c r="D108" s="16" t="s">
        <v>391</v>
      </c>
      <c r="E108" s="16" t="s">
        <v>369</v>
      </c>
      <c r="F108" s="16" t="s">
        <v>427</v>
      </c>
      <c r="G108" s="29">
        <v>6716</v>
      </c>
      <c r="H108" s="20">
        <v>2.76</v>
      </c>
      <c r="I108" s="22">
        <v>45590</v>
      </c>
      <c r="J108" s="24">
        <f>Estoque[[#This Row],[Qtd Estoque]]*Estoque[[#This Row],[Valor Unitário]]</f>
        <v>18536.16</v>
      </c>
      <c r="K108" s="34">
        <f ca="1">Estoque[[#This Row],[Validade]]-TODAY()</f>
        <v>-520</v>
      </c>
      <c r="L108" s="17" t="str">
        <f ca="1">IF(Estoque[[#This Row],[Dias para Vencer]]&lt;0,"Vencido",IF(Estoque[[#This Row],[Dias para Vencer]] &lt;=30, "Risco de Vencimento","OK"))</f>
        <v>Vencido</v>
      </c>
    </row>
    <row r="109" spans="1:12" x14ac:dyDescent="0.25">
      <c r="A109" s="15" t="s">
        <v>393</v>
      </c>
      <c r="B109" s="16" t="s">
        <v>411</v>
      </c>
      <c r="C109" s="16" t="s">
        <v>533</v>
      </c>
      <c r="D109" s="16" t="s">
        <v>399</v>
      </c>
      <c r="E109" s="16" t="s">
        <v>363</v>
      </c>
      <c r="F109" s="16" t="s">
        <v>400</v>
      </c>
      <c r="G109" s="29">
        <v>2012</v>
      </c>
      <c r="H109" s="20">
        <v>3.64</v>
      </c>
      <c r="I109" s="22">
        <v>46124</v>
      </c>
      <c r="J109" s="24">
        <f>Estoque[[#This Row],[Qtd Estoque]]*Estoque[[#This Row],[Valor Unitário]]</f>
        <v>7323.68</v>
      </c>
      <c r="K109" s="34">
        <f ca="1">Estoque[[#This Row],[Validade]]-TODAY()</f>
        <v>14</v>
      </c>
      <c r="L109" s="17" t="str">
        <f ca="1">IF(Estoque[[#This Row],[Dias para Vencer]]&lt;0,"Vencido",IF(Estoque[[#This Row],[Dias para Vencer]] &lt;=30, "Risco de Vencimento","OK"))</f>
        <v>Risco de Vencimento</v>
      </c>
    </row>
    <row r="110" spans="1:12" x14ac:dyDescent="0.25">
      <c r="A110" s="15" t="s">
        <v>388</v>
      </c>
      <c r="B110" s="16" t="s">
        <v>403</v>
      </c>
      <c r="C110" s="16" t="s">
        <v>534</v>
      </c>
      <c r="D110" s="16" t="s">
        <v>391</v>
      </c>
      <c r="E110" s="16" t="s">
        <v>369</v>
      </c>
      <c r="F110" s="16" t="s">
        <v>427</v>
      </c>
      <c r="G110" s="29">
        <v>9813</v>
      </c>
      <c r="H110" s="20">
        <v>4.1900000000000004</v>
      </c>
      <c r="I110" s="22">
        <v>45954</v>
      </c>
      <c r="J110" s="24">
        <f>Estoque[[#This Row],[Qtd Estoque]]*Estoque[[#This Row],[Valor Unitário]]</f>
        <v>41116.47</v>
      </c>
      <c r="K110" s="34">
        <f ca="1">Estoque[[#This Row],[Validade]]-TODAY()</f>
        <v>-156</v>
      </c>
      <c r="L110" s="17" t="str">
        <f ca="1">IF(Estoque[[#This Row],[Dias para Vencer]]&lt;0,"Vencido",IF(Estoque[[#This Row],[Dias para Vencer]] &lt;=30, "Risco de Vencimento","OK"))</f>
        <v>Vencido</v>
      </c>
    </row>
    <row r="111" spans="1:12" x14ac:dyDescent="0.25">
      <c r="A111" s="15" t="s">
        <v>509</v>
      </c>
      <c r="B111" s="16" t="s">
        <v>394</v>
      </c>
      <c r="C111" s="16" t="s">
        <v>535</v>
      </c>
      <c r="D111" s="16" t="s">
        <v>386</v>
      </c>
      <c r="E111" s="16" t="s">
        <v>371</v>
      </c>
      <c r="F111" s="16" t="s">
        <v>396</v>
      </c>
      <c r="G111" s="29">
        <v>3430</v>
      </c>
      <c r="H111" s="20">
        <v>5.55</v>
      </c>
      <c r="I111" s="22">
        <v>46656</v>
      </c>
      <c r="J111" s="24">
        <f>Estoque[[#This Row],[Qtd Estoque]]*Estoque[[#This Row],[Valor Unitário]]</f>
        <v>19036.5</v>
      </c>
      <c r="K111" s="34">
        <f ca="1">Estoque[[#This Row],[Validade]]-TODAY()</f>
        <v>546</v>
      </c>
      <c r="L111" s="17" t="str">
        <f ca="1">IF(Estoque[[#This Row],[Dias para Vencer]]&lt;0,"Vencido",IF(Estoque[[#This Row],[Dias para Vencer]] &lt;=30, "Risco de Vencimento","OK"))</f>
        <v>OK</v>
      </c>
    </row>
    <row r="112" spans="1:12" x14ac:dyDescent="0.25">
      <c r="A112" s="15" t="s">
        <v>388</v>
      </c>
      <c r="B112" s="16" t="s">
        <v>453</v>
      </c>
      <c r="C112" s="16" t="s">
        <v>536</v>
      </c>
      <c r="D112" s="16" t="s">
        <v>386</v>
      </c>
      <c r="E112" s="16" t="s">
        <v>372</v>
      </c>
      <c r="F112" s="16" t="s">
        <v>405</v>
      </c>
      <c r="G112" s="29">
        <v>7227</v>
      </c>
      <c r="H112" s="20">
        <v>3.6</v>
      </c>
      <c r="I112" s="22">
        <v>45786</v>
      </c>
      <c r="J112" s="24">
        <f>Estoque[[#This Row],[Qtd Estoque]]*Estoque[[#This Row],[Valor Unitário]]</f>
        <v>26017.200000000001</v>
      </c>
      <c r="K112" s="34">
        <f ca="1">Estoque[[#This Row],[Validade]]-TODAY()</f>
        <v>-324</v>
      </c>
      <c r="L112" s="17" t="str">
        <f ca="1">IF(Estoque[[#This Row],[Dias para Vencer]]&lt;0,"Vencido",IF(Estoque[[#This Row],[Dias para Vencer]] &lt;=30, "Risco de Vencimento","OK"))</f>
        <v>Vencido</v>
      </c>
    </row>
    <row r="113" spans="1:12" x14ac:dyDescent="0.25">
      <c r="A113" s="15" t="s">
        <v>440</v>
      </c>
      <c r="B113" s="16" t="s">
        <v>401</v>
      </c>
      <c r="C113" s="16" t="s">
        <v>537</v>
      </c>
      <c r="D113" s="16" t="s">
        <v>399</v>
      </c>
      <c r="E113" s="16" t="s">
        <v>363</v>
      </c>
      <c r="F113" s="16" t="s">
        <v>400</v>
      </c>
      <c r="G113" s="29">
        <v>8006</v>
      </c>
      <c r="H113" s="20">
        <v>6.93</v>
      </c>
      <c r="I113" s="22">
        <v>46446</v>
      </c>
      <c r="J113" s="24">
        <f>Estoque[[#This Row],[Qtd Estoque]]*Estoque[[#This Row],[Valor Unitário]]</f>
        <v>55481.579999999994</v>
      </c>
      <c r="K113" s="34">
        <f ca="1">Estoque[[#This Row],[Validade]]-TODAY()</f>
        <v>336</v>
      </c>
      <c r="L113" s="17" t="str">
        <f ca="1">IF(Estoque[[#This Row],[Dias para Vencer]]&lt;0,"Vencido",IF(Estoque[[#This Row],[Dias para Vencer]] &lt;=30, "Risco de Vencimento","OK"))</f>
        <v>OK</v>
      </c>
    </row>
    <row r="114" spans="1:12" x14ac:dyDescent="0.25">
      <c r="A114" s="15" t="s">
        <v>423</v>
      </c>
      <c r="B114" s="16" t="s">
        <v>418</v>
      </c>
      <c r="C114" s="16" t="s">
        <v>538</v>
      </c>
      <c r="D114" s="16" t="s">
        <v>435</v>
      </c>
      <c r="E114" s="16" t="s">
        <v>368</v>
      </c>
      <c r="F114" s="16" t="s">
        <v>463</v>
      </c>
      <c r="G114" s="29">
        <v>8125</v>
      </c>
      <c r="H114" s="20">
        <v>2.27</v>
      </c>
      <c r="I114" s="22">
        <v>46263</v>
      </c>
      <c r="J114" s="24">
        <f>Estoque[[#This Row],[Qtd Estoque]]*Estoque[[#This Row],[Valor Unitário]]</f>
        <v>18443.75</v>
      </c>
      <c r="K114" s="34">
        <f ca="1">Estoque[[#This Row],[Validade]]-TODAY()</f>
        <v>153</v>
      </c>
      <c r="L114" s="17" t="str">
        <f ca="1">IF(Estoque[[#This Row],[Dias para Vencer]]&lt;0,"Vencido",IF(Estoque[[#This Row],[Dias para Vencer]] &lt;=30, "Risco de Vencimento","OK"))</f>
        <v>OK</v>
      </c>
    </row>
    <row r="115" spans="1:12" x14ac:dyDescent="0.25">
      <c r="A115" s="15" t="s">
        <v>428</v>
      </c>
      <c r="B115" s="16" t="s">
        <v>403</v>
      </c>
      <c r="C115" s="16" t="s">
        <v>539</v>
      </c>
      <c r="D115" s="16" t="s">
        <v>399</v>
      </c>
      <c r="E115" s="16" t="s">
        <v>365</v>
      </c>
      <c r="F115" s="16" t="s">
        <v>414</v>
      </c>
      <c r="G115" s="29">
        <v>7922</v>
      </c>
      <c r="H115" s="20">
        <v>6.68</v>
      </c>
      <c r="I115" s="22">
        <v>46504</v>
      </c>
      <c r="J115" s="24">
        <f>Estoque[[#This Row],[Qtd Estoque]]*Estoque[[#This Row],[Valor Unitário]]</f>
        <v>52918.96</v>
      </c>
      <c r="K115" s="34">
        <f ca="1">Estoque[[#This Row],[Validade]]-TODAY()</f>
        <v>394</v>
      </c>
      <c r="L115" s="17" t="str">
        <f ca="1">IF(Estoque[[#This Row],[Dias para Vencer]]&lt;0,"Vencido",IF(Estoque[[#This Row],[Dias para Vencer]] &lt;=30, "Risco de Vencimento","OK"))</f>
        <v>OK</v>
      </c>
    </row>
    <row r="116" spans="1:12" x14ac:dyDescent="0.25">
      <c r="A116" s="15" t="s">
        <v>393</v>
      </c>
      <c r="B116" s="16" t="s">
        <v>389</v>
      </c>
      <c r="C116" s="16" t="s">
        <v>540</v>
      </c>
      <c r="D116" s="16" t="s">
        <v>391</v>
      </c>
      <c r="E116" s="16" t="s">
        <v>369</v>
      </c>
      <c r="F116" s="16" t="s">
        <v>427</v>
      </c>
      <c r="G116" s="29">
        <v>5114</v>
      </c>
      <c r="H116" s="20">
        <v>2.4900000000000002</v>
      </c>
      <c r="I116" s="22">
        <v>45756</v>
      </c>
      <c r="J116" s="24">
        <f>Estoque[[#This Row],[Qtd Estoque]]*Estoque[[#This Row],[Valor Unitário]]</f>
        <v>12733.86</v>
      </c>
      <c r="K116" s="34">
        <f ca="1">Estoque[[#This Row],[Validade]]-TODAY()</f>
        <v>-354</v>
      </c>
      <c r="L116" s="17" t="str">
        <f ca="1">IF(Estoque[[#This Row],[Dias para Vencer]]&lt;0,"Vencido",IF(Estoque[[#This Row],[Dias para Vencer]] &lt;=30, "Risco de Vencimento","OK"))</f>
        <v>Vencido</v>
      </c>
    </row>
    <row r="117" spans="1:12" x14ac:dyDescent="0.25">
      <c r="A117" s="15" t="s">
        <v>397</v>
      </c>
      <c r="B117" s="16" t="s">
        <v>433</v>
      </c>
      <c r="C117" s="16" t="s">
        <v>541</v>
      </c>
      <c r="D117" s="16" t="s">
        <v>435</v>
      </c>
      <c r="E117" s="16" t="s">
        <v>368</v>
      </c>
      <c r="F117" s="16" t="s">
        <v>463</v>
      </c>
      <c r="G117" s="29">
        <v>7620</v>
      </c>
      <c r="H117" s="20">
        <v>5</v>
      </c>
      <c r="I117" s="22">
        <v>46252</v>
      </c>
      <c r="J117" s="24">
        <f>Estoque[[#This Row],[Qtd Estoque]]*Estoque[[#This Row],[Valor Unitário]]</f>
        <v>38100</v>
      </c>
      <c r="K117" s="34">
        <f ca="1">Estoque[[#This Row],[Validade]]-TODAY()</f>
        <v>142</v>
      </c>
      <c r="L117" s="17" t="str">
        <f ca="1">IF(Estoque[[#This Row],[Dias para Vencer]]&lt;0,"Vencido",IF(Estoque[[#This Row],[Dias para Vencer]] &lt;=30, "Risco de Vencimento","OK"))</f>
        <v>OK</v>
      </c>
    </row>
    <row r="118" spans="1:12" x14ac:dyDescent="0.25">
      <c r="A118" s="15" t="s">
        <v>410</v>
      </c>
      <c r="B118" s="16" t="s">
        <v>418</v>
      </c>
      <c r="C118" s="16" t="s">
        <v>542</v>
      </c>
      <c r="D118" s="16" t="s">
        <v>399</v>
      </c>
      <c r="E118" s="16" t="s">
        <v>365</v>
      </c>
      <c r="F118" s="16" t="s">
        <v>414</v>
      </c>
      <c r="G118" s="29">
        <v>3353</v>
      </c>
      <c r="H118" s="20">
        <v>8.51</v>
      </c>
      <c r="I118" s="22">
        <v>46305</v>
      </c>
      <c r="J118" s="24">
        <f>Estoque[[#This Row],[Qtd Estoque]]*Estoque[[#This Row],[Valor Unitário]]</f>
        <v>28534.03</v>
      </c>
      <c r="K118" s="34">
        <f ca="1">Estoque[[#This Row],[Validade]]-TODAY()</f>
        <v>195</v>
      </c>
      <c r="L118" s="17" t="str">
        <f ca="1">IF(Estoque[[#This Row],[Dias para Vencer]]&lt;0,"Vencido",IF(Estoque[[#This Row],[Dias para Vencer]] &lt;=30, "Risco de Vencimento","OK"))</f>
        <v>OK</v>
      </c>
    </row>
    <row r="119" spans="1:12" x14ac:dyDescent="0.25">
      <c r="A119" s="15" t="s">
        <v>410</v>
      </c>
      <c r="B119" s="16" t="s">
        <v>411</v>
      </c>
      <c r="C119" s="16" t="s">
        <v>543</v>
      </c>
      <c r="D119" s="16" t="s">
        <v>391</v>
      </c>
      <c r="E119" s="16" t="s">
        <v>370</v>
      </c>
      <c r="F119" s="16" t="s">
        <v>392</v>
      </c>
      <c r="G119" s="29">
        <v>5432</v>
      </c>
      <c r="H119" s="20">
        <v>5.86</v>
      </c>
      <c r="I119" s="22">
        <v>46744</v>
      </c>
      <c r="J119" s="24">
        <f>Estoque[[#This Row],[Qtd Estoque]]*Estoque[[#This Row],[Valor Unitário]]</f>
        <v>31831.52</v>
      </c>
      <c r="K119" s="34">
        <f ca="1">Estoque[[#This Row],[Validade]]-TODAY()</f>
        <v>634</v>
      </c>
      <c r="L119" s="17" t="str">
        <f ca="1">IF(Estoque[[#This Row],[Dias para Vencer]]&lt;0,"Vencido",IF(Estoque[[#This Row],[Dias para Vencer]] &lt;=30, "Risco de Vencimento","OK"))</f>
        <v>OK</v>
      </c>
    </row>
    <row r="120" spans="1:12" x14ac:dyDescent="0.25">
      <c r="A120" s="15" t="s">
        <v>425</v>
      </c>
      <c r="B120" s="16" t="s">
        <v>403</v>
      </c>
      <c r="C120" s="16" t="s">
        <v>544</v>
      </c>
      <c r="D120" s="16" t="s">
        <v>435</v>
      </c>
      <c r="E120" s="16" t="s">
        <v>368</v>
      </c>
      <c r="F120" s="16" t="s">
        <v>463</v>
      </c>
      <c r="G120" s="29">
        <v>4351</v>
      </c>
      <c r="H120" s="20">
        <v>7.95</v>
      </c>
      <c r="I120" s="22">
        <v>46397</v>
      </c>
      <c r="J120" s="24">
        <f>Estoque[[#This Row],[Qtd Estoque]]*Estoque[[#This Row],[Valor Unitário]]</f>
        <v>34590.450000000004</v>
      </c>
      <c r="K120" s="34">
        <f ca="1">Estoque[[#This Row],[Validade]]-TODAY()</f>
        <v>287</v>
      </c>
      <c r="L120" s="17" t="str">
        <f ca="1">IF(Estoque[[#This Row],[Dias para Vencer]]&lt;0,"Vencido",IF(Estoque[[#This Row],[Dias para Vencer]] &lt;=30, "Risco de Vencimento","OK"))</f>
        <v>OK</v>
      </c>
    </row>
    <row r="121" spans="1:12" x14ac:dyDescent="0.25">
      <c r="A121" s="15" t="s">
        <v>442</v>
      </c>
      <c r="B121" s="16" t="s">
        <v>403</v>
      </c>
      <c r="C121" s="16" t="s">
        <v>545</v>
      </c>
      <c r="D121" s="16" t="s">
        <v>391</v>
      </c>
      <c r="E121" s="16" t="s">
        <v>370</v>
      </c>
      <c r="F121" s="16" t="s">
        <v>392</v>
      </c>
      <c r="G121" s="29">
        <v>6362</v>
      </c>
      <c r="H121" s="20">
        <v>3.85</v>
      </c>
      <c r="I121" s="22">
        <v>45302</v>
      </c>
      <c r="J121" s="24">
        <f>Estoque[[#This Row],[Qtd Estoque]]*Estoque[[#This Row],[Valor Unitário]]</f>
        <v>24493.7</v>
      </c>
      <c r="K121" s="34">
        <f ca="1">Estoque[[#This Row],[Validade]]-TODAY()</f>
        <v>-808</v>
      </c>
      <c r="L121" s="17" t="str">
        <f ca="1">IF(Estoque[[#This Row],[Dias para Vencer]]&lt;0,"Vencido",IF(Estoque[[#This Row],[Dias para Vencer]] &lt;=30, "Risco de Vencimento","OK"))</f>
        <v>Vencido</v>
      </c>
    </row>
    <row r="122" spans="1:12" x14ac:dyDescent="0.25">
      <c r="A122" s="15" t="s">
        <v>442</v>
      </c>
      <c r="B122" s="16" t="s">
        <v>389</v>
      </c>
      <c r="C122" s="16" t="s">
        <v>546</v>
      </c>
      <c r="D122" s="16" t="s">
        <v>391</v>
      </c>
      <c r="E122" s="16" t="s">
        <v>370</v>
      </c>
      <c r="F122" s="16" t="s">
        <v>392</v>
      </c>
      <c r="G122" s="29">
        <v>8584</v>
      </c>
      <c r="H122" s="20">
        <v>7.13</v>
      </c>
      <c r="I122" s="22">
        <v>45504</v>
      </c>
      <c r="J122" s="24">
        <f>Estoque[[#This Row],[Qtd Estoque]]*Estoque[[#This Row],[Valor Unitário]]</f>
        <v>61203.92</v>
      </c>
      <c r="K122" s="34">
        <f ca="1">Estoque[[#This Row],[Validade]]-TODAY()</f>
        <v>-606</v>
      </c>
      <c r="L122" s="17" t="str">
        <f ca="1">IF(Estoque[[#This Row],[Dias para Vencer]]&lt;0,"Vencido",IF(Estoque[[#This Row],[Dias para Vencer]] &lt;=30, "Risco de Vencimento","OK"))</f>
        <v>Vencido</v>
      </c>
    </row>
    <row r="123" spans="1:12" x14ac:dyDescent="0.25">
      <c r="A123" s="15" t="s">
        <v>393</v>
      </c>
      <c r="B123" s="16" t="s">
        <v>403</v>
      </c>
      <c r="C123" s="16" t="s">
        <v>547</v>
      </c>
      <c r="D123" s="16" t="s">
        <v>435</v>
      </c>
      <c r="E123" s="16" t="s">
        <v>367</v>
      </c>
      <c r="F123" s="16" t="s">
        <v>436</v>
      </c>
      <c r="G123" s="29">
        <v>1851</v>
      </c>
      <c r="H123" s="20">
        <v>7.41</v>
      </c>
      <c r="I123" s="22">
        <v>45893</v>
      </c>
      <c r="J123" s="24">
        <f>Estoque[[#This Row],[Qtd Estoque]]*Estoque[[#This Row],[Valor Unitário]]</f>
        <v>13715.91</v>
      </c>
      <c r="K123" s="34">
        <f ca="1">Estoque[[#This Row],[Validade]]-TODAY()</f>
        <v>-217</v>
      </c>
      <c r="L123" s="17" t="str">
        <f ca="1">IF(Estoque[[#This Row],[Dias para Vencer]]&lt;0,"Vencido",IF(Estoque[[#This Row],[Dias para Vencer]] &lt;=30, "Risco de Vencimento","OK"))</f>
        <v>Vencido</v>
      </c>
    </row>
    <row r="124" spans="1:12" x14ac:dyDescent="0.25">
      <c r="A124" s="15" t="s">
        <v>509</v>
      </c>
      <c r="B124" s="16" t="s">
        <v>418</v>
      </c>
      <c r="C124" s="16" t="s">
        <v>548</v>
      </c>
      <c r="D124" s="16" t="s">
        <v>386</v>
      </c>
      <c r="E124" s="16" t="s">
        <v>372</v>
      </c>
      <c r="F124" s="16" t="s">
        <v>405</v>
      </c>
      <c r="G124" s="29">
        <v>7482</v>
      </c>
      <c r="H124" s="20">
        <v>6.96</v>
      </c>
      <c r="I124" s="22">
        <v>46062</v>
      </c>
      <c r="J124" s="24">
        <f>Estoque[[#This Row],[Qtd Estoque]]*Estoque[[#This Row],[Valor Unitário]]</f>
        <v>52074.720000000001</v>
      </c>
      <c r="K124" s="34">
        <f ca="1">Estoque[[#This Row],[Validade]]-TODAY()</f>
        <v>-48</v>
      </c>
      <c r="L124" s="17" t="str">
        <f ca="1">IF(Estoque[[#This Row],[Dias para Vencer]]&lt;0,"Vencido",IF(Estoque[[#This Row],[Dias para Vencer]] &lt;=30, "Risco de Vencimento","OK"))</f>
        <v>Vencido</v>
      </c>
    </row>
    <row r="125" spans="1:12" x14ac:dyDescent="0.25">
      <c r="A125" s="15" t="s">
        <v>415</v>
      </c>
      <c r="B125" s="16" t="s">
        <v>418</v>
      </c>
      <c r="C125" s="16" t="s">
        <v>549</v>
      </c>
      <c r="D125" s="16" t="s">
        <v>391</v>
      </c>
      <c r="E125" s="16" t="s">
        <v>369</v>
      </c>
      <c r="F125" s="16" t="s">
        <v>427</v>
      </c>
      <c r="G125" s="29">
        <v>1565</v>
      </c>
      <c r="H125" s="20">
        <v>3.94</v>
      </c>
      <c r="I125" s="22">
        <v>46572</v>
      </c>
      <c r="J125" s="24">
        <f>Estoque[[#This Row],[Qtd Estoque]]*Estoque[[#This Row],[Valor Unitário]]</f>
        <v>6166.1</v>
      </c>
      <c r="K125" s="34">
        <f ca="1">Estoque[[#This Row],[Validade]]-TODAY()</f>
        <v>462</v>
      </c>
      <c r="L125" s="17" t="str">
        <f ca="1">IF(Estoque[[#This Row],[Dias para Vencer]]&lt;0,"Vencido",IF(Estoque[[#This Row],[Dias para Vencer]] &lt;=30, "Risco de Vencimento","OK"))</f>
        <v>OK</v>
      </c>
    </row>
    <row r="126" spans="1:12" x14ac:dyDescent="0.25">
      <c r="A126" s="15" t="s">
        <v>425</v>
      </c>
      <c r="B126" s="16" t="s">
        <v>433</v>
      </c>
      <c r="C126" s="16" t="s">
        <v>550</v>
      </c>
      <c r="D126" s="16" t="s">
        <v>386</v>
      </c>
      <c r="E126" s="16" t="s">
        <v>372</v>
      </c>
      <c r="F126" s="16" t="s">
        <v>405</v>
      </c>
      <c r="G126" s="29">
        <v>6970</v>
      </c>
      <c r="H126" s="20">
        <v>7.86</v>
      </c>
      <c r="I126" s="22">
        <v>46720</v>
      </c>
      <c r="J126" s="24">
        <f>Estoque[[#This Row],[Qtd Estoque]]*Estoque[[#This Row],[Valor Unitário]]</f>
        <v>54784.200000000004</v>
      </c>
      <c r="K126" s="34">
        <f ca="1">Estoque[[#This Row],[Validade]]-TODAY()</f>
        <v>610</v>
      </c>
      <c r="L126" s="17" t="str">
        <f ca="1">IF(Estoque[[#This Row],[Dias para Vencer]]&lt;0,"Vencido",IF(Estoque[[#This Row],[Dias para Vencer]] &lt;=30, "Risco de Vencimento","OK"))</f>
        <v>OK</v>
      </c>
    </row>
    <row r="127" spans="1:12" x14ac:dyDescent="0.25">
      <c r="A127" s="15" t="s">
        <v>431</v>
      </c>
      <c r="B127" s="16" t="s">
        <v>403</v>
      </c>
      <c r="C127" s="16" t="s">
        <v>551</v>
      </c>
      <c r="D127" s="16" t="s">
        <v>391</v>
      </c>
      <c r="E127" s="16" t="s">
        <v>370</v>
      </c>
      <c r="F127" s="16" t="s">
        <v>392</v>
      </c>
      <c r="G127" s="29">
        <v>7247</v>
      </c>
      <c r="H127" s="20">
        <v>5.7</v>
      </c>
      <c r="I127" s="22">
        <v>46607</v>
      </c>
      <c r="J127" s="24">
        <f>Estoque[[#This Row],[Qtd Estoque]]*Estoque[[#This Row],[Valor Unitário]]</f>
        <v>41307.9</v>
      </c>
      <c r="K127" s="34">
        <f ca="1">Estoque[[#This Row],[Validade]]-TODAY()</f>
        <v>497</v>
      </c>
      <c r="L127" s="17" t="str">
        <f ca="1">IF(Estoque[[#This Row],[Dias para Vencer]]&lt;0,"Vencido",IF(Estoque[[#This Row],[Dias para Vencer]] &lt;=30, "Risco de Vencimento","OK"))</f>
        <v>OK</v>
      </c>
    </row>
    <row r="128" spans="1:12" x14ac:dyDescent="0.25">
      <c r="A128" s="15" t="s">
        <v>431</v>
      </c>
      <c r="B128" s="16" t="s">
        <v>403</v>
      </c>
      <c r="C128" s="16" t="s">
        <v>552</v>
      </c>
      <c r="D128" s="16" t="s">
        <v>386</v>
      </c>
      <c r="E128" s="16" t="s">
        <v>371</v>
      </c>
      <c r="F128" s="16" t="s">
        <v>396</v>
      </c>
      <c r="G128" s="29">
        <v>6304</v>
      </c>
      <c r="H128" s="20">
        <v>5.7</v>
      </c>
      <c r="I128" s="22">
        <v>45520</v>
      </c>
      <c r="J128" s="24">
        <f>Estoque[[#This Row],[Qtd Estoque]]*Estoque[[#This Row],[Valor Unitário]]</f>
        <v>35932.800000000003</v>
      </c>
      <c r="K128" s="34">
        <f ca="1">Estoque[[#This Row],[Validade]]-TODAY()</f>
        <v>-590</v>
      </c>
      <c r="L128" s="17" t="str">
        <f ca="1">IF(Estoque[[#This Row],[Dias para Vencer]]&lt;0,"Vencido",IF(Estoque[[#This Row],[Dias para Vencer]] &lt;=30, "Risco de Vencimento","OK"))</f>
        <v>Vencido</v>
      </c>
    </row>
    <row r="129" spans="1:12" x14ac:dyDescent="0.25">
      <c r="A129" s="15" t="s">
        <v>383</v>
      </c>
      <c r="B129" s="16" t="s">
        <v>433</v>
      </c>
      <c r="C129" s="16" t="s">
        <v>553</v>
      </c>
      <c r="D129" s="16" t="s">
        <v>435</v>
      </c>
      <c r="E129" s="16" t="s">
        <v>368</v>
      </c>
      <c r="F129" s="16" t="s">
        <v>463</v>
      </c>
      <c r="G129" s="29">
        <v>8500</v>
      </c>
      <c r="H129" s="20">
        <v>7.52</v>
      </c>
      <c r="I129" s="22">
        <v>46065</v>
      </c>
      <c r="J129" s="24">
        <f>Estoque[[#This Row],[Qtd Estoque]]*Estoque[[#This Row],[Valor Unitário]]</f>
        <v>63920</v>
      </c>
      <c r="K129" s="34">
        <f ca="1">Estoque[[#This Row],[Validade]]-TODAY()</f>
        <v>-45</v>
      </c>
      <c r="L129" s="17" t="str">
        <f ca="1">IF(Estoque[[#This Row],[Dias para Vencer]]&lt;0,"Vencido",IF(Estoque[[#This Row],[Dias para Vencer]] &lt;=30, "Risco de Vencimento","OK"))</f>
        <v>Vencido</v>
      </c>
    </row>
    <row r="130" spans="1:12" x14ac:dyDescent="0.25">
      <c r="A130" s="15" t="s">
        <v>421</v>
      </c>
      <c r="B130" s="16" t="s">
        <v>401</v>
      </c>
      <c r="C130" s="16" t="s">
        <v>554</v>
      </c>
      <c r="D130" s="16" t="s">
        <v>391</v>
      </c>
      <c r="E130" s="16" t="s">
        <v>369</v>
      </c>
      <c r="F130" s="16" t="s">
        <v>427</v>
      </c>
      <c r="G130" s="29">
        <v>9491</v>
      </c>
      <c r="H130" s="20">
        <v>3.26</v>
      </c>
      <c r="I130" s="22">
        <v>46589</v>
      </c>
      <c r="J130" s="24">
        <f>Estoque[[#This Row],[Qtd Estoque]]*Estoque[[#This Row],[Valor Unitário]]</f>
        <v>30940.659999999996</v>
      </c>
      <c r="K130" s="34">
        <f ca="1">Estoque[[#This Row],[Validade]]-TODAY()</f>
        <v>479</v>
      </c>
      <c r="L130" s="17" t="str">
        <f ca="1">IF(Estoque[[#This Row],[Dias para Vencer]]&lt;0,"Vencido",IF(Estoque[[#This Row],[Dias para Vencer]] &lt;=30, "Risco de Vencimento","OK"))</f>
        <v>OK</v>
      </c>
    </row>
    <row r="131" spans="1:12" x14ac:dyDescent="0.25">
      <c r="A131" s="15" t="s">
        <v>423</v>
      </c>
      <c r="B131" s="16" t="s">
        <v>418</v>
      </c>
      <c r="C131" s="16" t="s">
        <v>555</v>
      </c>
      <c r="D131" s="16" t="s">
        <v>391</v>
      </c>
      <c r="E131" s="16" t="s">
        <v>370</v>
      </c>
      <c r="F131" s="16" t="s">
        <v>392</v>
      </c>
      <c r="G131" s="29">
        <v>3566</v>
      </c>
      <c r="H131" s="20">
        <v>2.27</v>
      </c>
      <c r="I131" s="22">
        <v>46004</v>
      </c>
      <c r="J131" s="24">
        <f>Estoque[[#This Row],[Qtd Estoque]]*Estoque[[#This Row],[Valor Unitário]]</f>
        <v>8094.82</v>
      </c>
      <c r="K131" s="34">
        <f ca="1">Estoque[[#This Row],[Validade]]-TODAY()</f>
        <v>-106</v>
      </c>
      <c r="L131" s="17" t="str">
        <f ca="1">IF(Estoque[[#This Row],[Dias para Vencer]]&lt;0,"Vencido",IF(Estoque[[#This Row],[Dias para Vencer]] &lt;=30, "Risco de Vencimento","OK"))</f>
        <v>Vencido</v>
      </c>
    </row>
    <row r="132" spans="1:12" x14ac:dyDescent="0.25">
      <c r="A132" s="15" t="s">
        <v>473</v>
      </c>
      <c r="B132" s="16" t="s">
        <v>418</v>
      </c>
      <c r="C132" s="16" t="s">
        <v>556</v>
      </c>
      <c r="D132" s="16" t="s">
        <v>435</v>
      </c>
      <c r="E132" s="16" t="s">
        <v>367</v>
      </c>
      <c r="F132" s="16" t="s">
        <v>436</v>
      </c>
      <c r="G132" s="29">
        <v>1997</v>
      </c>
      <c r="H132" s="20">
        <v>1.92</v>
      </c>
      <c r="I132" s="22">
        <v>46367</v>
      </c>
      <c r="J132" s="24">
        <f>Estoque[[#This Row],[Qtd Estoque]]*Estoque[[#This Row],[Valor Unitário]]</f>
        <v>3834.24</v>
      </c>
      <c r="K132" s="34">
        <f ca="1">Estoque[[#This Row],[Validade]]-TODAY()</f>
        <v>257</v>
      </c>
      <c r="L132" s="17" t="str">
        <f ca="1">IF(Estoque[[#This Row],[Dias para Vencer]]&lt;0,"Vencido",IF(Estoque[[#This Row],[Dias para Vencer]] &lt;=30, "Risco de Vencimento","OK"))</f>
        <v>OK</v>
      </c>
    </row>
    <row r="133" spans="1:12" x14ac:dyDescent="0.25">
      <c r="A133" s="15" t="s">
        <v>509</v>
      </c>
      <c r="B133" s="16" t="s">
        <v>394</v>
      </c>
      <c r="C133" s="16" t="s">
        <v>557</v>
      </c>
      <c r="D133" s="16" t="s">
        <v>435</v>
      </c>
      <c r="E133" s="16" t="s">
        <v>367</v>
      </c>
      <c r="F133" s="16" t="s">
        <v>436</v>
      </c>
      <c r="G133" s="29">
        <v>5105</v>
      </c>
      <c r="H133" s="20">
        <v>5.55</v>
      </c>
      <c r="I133" s="22">
        <v>46012</v>
      </c>
      <c r="J133" s="24">
        <f>Estoque[[#This Row],[Qtd Estoque]]*Estoque[[#This Row],[Valor Unitário]]</f>
        <v>28332.75</v>
      </c>
      <c r="K133" s="34">
        <f ca="1">Estoque[[#This Row],[Validade]]-TODAY()</f>
        <v>-98</v>
      </c>
      <c r="L133" s="17" t="str">
        <f ca="1">IF(Estoque[[#This Row],[Dias para Vencer]]&lt;0,"Vencido",IF(Estoque[[#This Row],[Dias para Vencer]] &lt;=30, "Risco de Vencimento","OK"))</f>
        <v>Vencido</v>
      </c>
    </row>
    <row r="134" spans="1:12" x14ac:dyDescent="0.25">
      <c r="A134" s="15" t="s">
        <v>509</v>
      </c>
      <c r="B134" s="16" t="s">
        <v>411</v>
      </c>
      <c r="C134" s="16" t="s">
        <v>558</v>
      </c>
      <c r="D134" s="16" t="s">
        <v>391</v>
      </c>
      <c r="E134" s="16" t="s">
        <v>370</v>
      </c>
      <c r="F134" s="16" t="s">
        <v>392</v>
      </c>
      <c r="G134" s="29">
        <v>8055</v>
      </c>
      <c r="H134" s="20">
        <v>8.9700000000000006</v>
      </c>
      <c r="I134" s="22">
        <v>46445</v>
      </c>
      <c r="J134" s="24">
        <f>Estoque[[#This Row],[Qtd Estoque]]*Estoque[[#This Row],[Valor Unitário]]</f>
        <v>72253.350000000006</v>
      </c>
      <c r="K134" s="34">
        <f ca="1">Estoque[[#This Row],[Validade]]-TODAY()</f>
        <v>335</v>
      </c>
      <c r="L134" s="17" t="str">
        <f ca="1">IF(Estoque[[#This Row],[Dias para Vencer]]&lt;0,"Vencido",IF(Estoque[[#This Row],[Dias para Vencer]] &lt;=30, "Risco de Vencimento","OK"))</f>
        <v>OK</v>
      </c>
    </row>
    <row r="135" spans="1:12" x14ac:dyDescent="0.25">
      <c r="A135" s="15" t="s">
        <v>425</v>
      </c>
      <c r="B135" s="16" t="s">
        <v>401</v>
      </c>
      <c r="C135" s="16" t="s">
        <v>559</v>
      </c>
      <c r="D135" s="16" t="s">
        <v>399</v>
      </c>
      <c r="E135" s="16" t="s">
        <v>366</v>
      </c>
      <c r="F135" s="16" t="s">
        <v>417</v>
      </c>
      <c r="G135" s="29">
        <v>8439</v>
      </c>
      <c r="H135" s="20">
        <v>2.78</v>
      </c>
      <c r="I135" s="22">
        <v>46558</v>
      </c>
      <c r="J135" s="24">
        <f>Estoque[[#This Row],[Qtd Estoque]]*Estoque[[#This Row],[Valor Unitário]]</f>
        <v>23460.42</v>
      </c>
      <c r="K135" s="34">
        <f ca="1">Estoque[[#This Row],[Validade]]-TODAY()</f>
        <v>448</v>
      </c>
      <c r="L135" s="17" t="str">
        <f ca="1">IF(Estoque[[#This Row],[Dias para Vencer]]&lt;0,"Vencido",IF(Estoque[[#This Row],[Dias para Vencer]] &lt;=30, "Risco de Vencimento","OK"))</f>
        <v>OK</v>
      </c>
    </row>
    <row r="136" spans="1:12" x14ac:dyDescent="0.25">
      <c r="A136" s="15" t="s">
        <v>393</v>
      </c>
      <c r="B136" s="16" t="s">
        <v>401</v>
      </c>
      <c r="C136" s="16" t="s">
        <v>560</v>
      </c>
      <c r="D136" s="16" t="s">
        <v>399</v>
      </c>
      <c r="E136" s="16" t="s">
        <v>364</v>
      </c>
      <c r="F136" s="16" t="s">
        <v>408</v>
      </c>
      <c r="G136" s="29">
        <v>6550</v>
      </c>
      <c r="H136" s="20">
        <v>3.16</v>
      </c>
      <c r="I136" s="22">
        <v>45751</v>
      </c>
      <c r="J136" s="24">
        <f>Estoque[[#This Row],[Qtd Estoque]]*Estoque[[#This Row],[Valor Unitário]]</f>
        <v>20698</v>
      </c>
      <c r="K136" s="34">
        <f ca="1">Estoque[[#This Row],[Validade]]-TODAY()</f>
        <v>-359</v>
      </c>
      <c r="L136" s="17" t="str">
        <f ca="1">IF(Estoque[[#This Row],[Dias para Vencer]]&lt;0,"Vencido",IF(Estoque[[#This Row],[Dias para Vencer]] &lt;=30, "Risco de Vencimento","OK"))</f>
        <v>Vencido</v>
      </c>
    </row>
    <row r="137" spans="1:12" x14ac:dyDescent="0.25">
      <c r="A137" s="15" t="s">
        <v>421</v>
      </c>
      <c r="B137" s="16" t="s">
        <v>411</v>
      </c>
      <c r="C137" s="16" t="s">
        <v>561</v>
      </c>
      <c r="D137" s="16" t="s">
        <v>391</v>
      </c>
      <c r="E137" s="16" t="s">
        <v>370</v>
      </c>
      <c r="F137" s="16" t="s">
        <v>392</v>
      </c>
      <c r="G137" s="29">
        <v>9160</v>
      </c>
      <c r="H137" s="20">
        <v>4.95</v>
      </c>
      <c r="I137" s="22">
        <v>45957</v>
      </c>
      <c r="J137" s="24">
        <f>Estoque[[#This Row],[Qtd Estoque]]*Estoque[[#This Row],[Valor Unitário]]</f>
        <v>45342</v>
      </c>
      <c r="K137" s="34">
        <f ca="1">Estoque[[#This Row],[Validade]]-TODAY()</f>
        <v>-153</v>
      </c>
      <c r="L137" s="17" t="str">
        <f ca="1">IF(Estoque[[#This Row],[Dias para Vencer]]&lt;0,"Vencido",IF(Estoque[[#This Row],[Dias para Vencer]] &lt;=30, "Risco de Vencimento","OK"))</f>
        <v>Vencido</v>
      </c>
    </row>
    <row r="138" spans="1:12" x14ac:dyDescent="0.25">
      <c r="A138" s="15" t="s">
        <v>464</v>
      </c>
      <c r="B138" s="16" t="s">
        <v>433</v>
      </c>
      <c r="C138" s="16" t="s">
        <v>562</v>
      </c>
      <c r="D138" s="16" t="s">
        <v>399</v>
      </c>
      <c r="E138" s="16" t="s">
        <v>364</v>
      </c>
      <c r="F138" s="16" t="s">
        <v>408</v>
      </c>
      <c r="G138" s="29">
        <v>8215</v>
      </c>
      <c r="H138" s="20">
        <v>2.63</v>
      </c>
      <c r="I138" s="22">
        <v>46519</v>
      </c>
      <c r="J138" s="24">
        <f>Estoque[[#This Row],[Qtd Estoque]]*Estoque[[#This Row],[Valor Unitário]]</f>
        <v>21605.45</v>
      </c>
      <c r="K138" s="34">
        <f ca="1">Estoque[[#This Row],[Validade]]-TODAY()</f>
        <v>409</v>
      </c>
      <c r="L138" s="17" t="str">
        <f ca="1">IF(Estoque[[#This Row],[Dias para Vencer]]&lt;0,"Vencido",IF(Estoque[[#This Row],[Dias para Vencer]] &lt;=30, "Risco de Vencimento","OK"))</f>
        <v>OK</v>
      </c>
    </row>
    <row r="139" spans="1:12" x14ac:dyDescent="0.25">
      <c r="A139" s="15" t="s">
        <v>480</v>
      </c>
      <c r="B139" s="16" t="s">
        <v>453</v>
      </c>
      <c r="C139" s="16" t="s">
        <v>563</v>
      </c>
      <c r="D139" s="16" t="s">
        <v>391</v>
      </c>
      <c r="E139" s="16" t="s">
        <v>369</v>
      </c>
      <c r="F139" s="16" t="s">
        <v>427</v>
      </c>
      <c r="G139" s="29">
        <v>9538</v>
      </c>
      <c r="H139" s="20">
        <v>7.77</v>
      </c>
      <c r="I139" s="22">
        <v>46687</v>
      </c>
      <c r="J139" s="24">
        <f>Estoque[[#This Row],[Qtd Estoque]]*Estoque[[#This Row],[Valor Unitário]]</f>
        <v>74110.259999999995</v>
      </c>
      <c r="K139" s="34">
        <f ca="1">Estoque[[#This Row],[Validade]]-TODAY()</f>
        <v>577</v>
      </c>
      <c r="L139" s="17" t="str">
        <f ca="1">IF(Estoque[[#This Row],[Dias para Vencer]]&lt;0,"Vencido",IF(Estoque[[#This Row],[Dias para Vencer]] &lt;=30, "Risco de Vencimento","OK"))</f>
        <v>OK</v>
      </c>
    </row>
    <row r="140" spans="1:12" x14ac:dyDescent="0.25">
      <c r="A140" s="15" t="s">
        <v>425</v>
      </c>
      <c r="B140" s="16" t="s">
        <v>394</v>
      </c>
      <c r="C140" s="16" t="s">
        <v>564</v>
      </c>
      <c r="D140" s="16" t="s">
        <v>399</v>
      </c>
      <c r="E140" s="16" t="s">
        <v>363</v>
      </c>
      <c r="F140" s="16" t="s">
        <v>400</v>
      </c>
      <c r="G140" s="29">
        <v>1653</v>
      </c>
      <c r="H140" s="20">
        <v>4.46</v>
      </c>
      <c r="I140" s="22">
        <v>45439</v>
      </c>
      <c r="J140" s="24">
        <f>Estoque[[#This Row],[Qtd Estoque]]*Estoque[[#This Row],[Valor Unitário]]</f>
        <v>7372.38</v>
      </c>
      <c r="K140" s="34">
        <f ca="1">Estoque[[#This Row],[Validade]]-TODAY()</f>
        <v>-671</v>
      </c>
      <c r="L140" s="17" t="str">
        <f ca="1">IF(Estoque[[#This Row],[Dias para Vencer]]&lt;0,"Vencido",IF(Estoque[[#This Row],[Dias para Vencer]] &lt;=30, "Risco de Vencimento","OK"))</f>
        <v>Vencido</v>
      </c>
    </row>
    <row r="141" spans="1:12" x14ac:dyDescent="0.25">
      <c r="A141" s="15" t="s">
        <v>388</v>
      </c>
      <c r="B141" s="16" t="s">
        <v>401</v>
      </c>
      <c r="C141" s="16" t="s">
        <v>565</v>
      </c>
      <c r="D141" s="16" t="s">
        <v>399</v>
      </c>
      <c r="E141" s="16" t="s">
        <v>366</v>
      </c>
      <c r="F141" s="16" t="s">
        <v>417</v>
      </c>
      <c r="G141" s="29">
        <v>9508</v>
      </c>
      <c r="H141" s="20">
        <v>4.66</v>
      </c>
      <c r="I141" s="22">
        <v>45916</v>
      </c>
      <c r="J141" s="24">
        <f>Estoque[[#This Row],[Qtd Estoque]]*Estoque[[#This Row],[Valor Unitário]]</f>
        <v>44307.28</v>
      </c>
      <c r="K141" s="34">
        <f ca="1">Estoque[[#This Row],[Validade]]-TODAY()</f>
        <v>-194</v>
      </c>
      <c r="L141" s="17" t="str">
        <f ca="1">IF(Estoque[[#This Row],[Dias para Vencer]]&lt;0,"Vencido",IF(Estoque[[#This Row],[Dias para Vencer]] &lt;=30, "Risco de Vencimento","OK"))</f>
        <v>Vencido</v>
      </c>
    </row>
    <row r="142" spans="1:12" x14ac:dyDescent="0.25">
      <c r="A142" s="15" t="s">
        <v>388</v>
      </c>
      <c r="B142" s="16" t="s">
        <v>453</v>
      </c>
      <c r="C142" s="16" t="s">
        <v>566</v>
      </c>
      <c r="D142" s="16" t="s">
        <v>399</v>
      </c>
      <c r="E142" s="16" t="s">
        <v>364</v>
      </c>
      <c r="F142" s="16" t="s">
        <v>408</v>
      </c>
      <c r="G142" s="29">
        <v>6398</v>
      </c>
      <c r="H142" s="20">
        <v>3.6</v>
      </c>
      <c r="I142" s="22">
        <v>45524</v>
      </c>
      <c r="J142" s="24">
        <f>Estoque[[#This Row],[Qtd Estoque]]*Estoque[[#This Row],[Valor Unitário]]</f>
        <v>23032.799999999999</v>
      </c>
      <c r="K142" s="34">
        <f ca="1">Estoque[[#This Row],[Validade]]-TODAY()</f>
        <v>-586</v>
      </c>
      <c r="L142" s="17" t="str">
        <f ca="1">IF(Estoque[[#This Row],[Dias para Vencer]]&lt;0,"Vencido",IF(Estoque[[#This Row],[Dias para Vencer]] &lt;=30, "Risco de Vencimento","OK"))</f>
        <v>Vencido</v>
      </c>
    </row>
    <row r="143" spans="1:12" x14ac:dyDescent="0.25">
      <c r="A143" s="15" t="s">
        <v>406</v>
      </c>
      <c r="B143" s="16" t="s">
        <v>453</v>
      </c>
      <c r="C143" s="16" t="s">
        <v>567</v>
      </c>
      <c r="D143" s="16" t="s">
        <v>399</v>
      </c>
      <c r="E143" s="16" t="s">
        <v>366</v>
      </c>
      <c r="F143" s="16" t="s">
        <v>417</v>
      </c>
      <c r="G143" s="29">
        <v>8311</v>
      </c>
      <c r="H143" s="20">
        <v>7.46</v>
      </c>
      <c r="I143" s="22">
        <v>46606</v>
      </c>
      <c r="J143" s="24">
        <f>Estoque[[#This Row],[Qtd Estoque]]*Estoque[[#This Row],[Valor Unitário]]</f>
        <v>62000.06</v>
      </c>
      <c r="K143" s="34">
        <f ca="1">Estoque[[#This Row],[Validade]]-TODAY()</f>
        <v>496</v>
      </c>
      <c r="L143" s="17" t="str">
        <f ca="1">IF(Estoque[[#This Row],[Dias para Vencer]]&lt;0,"Vencido",IF(Estoque[[#This Row],[Dias para Vencer]] &lt;=30, "Risco de Vencimento","OK"))</f>
        <v>OK</v>
      </c>
    </row>
    <row r="144" spans="1:12" x14ac:dyDescent="0.25">
      <c r="A144" s="15" t="s">
        <v>442</v>
      </c>
      <c r="B144" s="16" t="s">
        <v>403</v>
      </c>
      <c r="C144" s="16" t="s">
        <v>568</v>
      </c>
      <c r="D144" s="16" t="s">
        <v>399</v>
      </c>
      <c r="E144" s="16" t="s">
        <v>366</v>
      </c>
      <c r="F144" s="16" t="s">
        <v>417</v>
      </c>
      <c r="G144" s="29">
        <v>8499</v>
      </c>
      <c r="H144" s="20">
        <v>3.85</v>
      </c>
      <c r="I144" s="22">
        <v>46573</v>
      </c>
      <c r="J144" s="24">
        <f>Estoque[[#This Row],[Qtd Estoque]]*Estoque[[#This Row],[Valor Unitário]]</f>
        <v>32721.15</v>
      </c>
      <c r="K144" s="34">
        <f ca="1">Estoque[[#This Row],[Validade]]-TODAY()</f>
        <v>463</v>
      </c>
      <c r="L144" s="17" t="str">
        <f ca="1">IF(Estoque[[#This Row],[Dias para Vencer]]&lt;0,"Vencido",IF(Estoque[[#This Row],[Dias para Vencer]] &lt;=30, "Risco de Vencimento","OK"))</f>
        <v>OK</v>
      </c>
    </row>
    <row r="145" spans="1:12" x14ac:dyDescent="0.25">
      <c r="A145" s="15" t="s">
        <v>464</v>
      </c>
      <c r="B145" s="16" t="s">
        <v>403</v>
      </c>
      <c r="C145" s="16" t="s">
        <v>569</v>
      </c>
      <c r="D145" s="16" t="s">
        <v>386</v>
      </c>
      <c r="E145" s="16" t="s">
        <v>371</v>
      </c>
      <c r="F145" s="16" t="s">
        <v>396</v>
      </c>
      <c r="G145" s="29">
        <v>8047</v>
      </c>
      <c r="H145" s="20">
        <v>7.74</v>
      </c>
      <c r="I145" s="22">
        <v>46608</v>
      </c>
      <c r="J145" s="24">
        <f>Estoque[[#This Row],[Qtd Estoque]]*Estoque[[#This Row],[Valor Unitário]]</f>
        <v>62283.78</v>
      </c>
      <c r="K145" s="34">
        <f ca="1">Estoque[[#This Row],[Validade]]-TODAY()</f>
        <v>498</v>
      </c>
      <c r="L145" s="17" t="str">
        <f ca="1">IF(Estoque[[#This Row],[Dias para Vencer]]&lt;0,"Vencido",IF(Estoque[[#This Row],[Dias para Vencer]] &lt;=30, "Risco de Vencimento","OK"))</f>
        <v>OK</v>
      </c>
    </row>
    <row r="146" spans="1:12" x14ac:dyDescent="0.25">
      <c r="A146" s="15" t="s">
        <v>425</v>
      </c>
      <c r="B146" s="16" t="s">
        <v>394</v>
      </c>
      <c r="C146" s="16" t="s">
        <v>570</v>
      </c>
      <c r="D146" s="16" t="s">
        <v>399</v>
      </c>
      <c r="E146" s="16" t="s">
        <v>366</v>
      </c>
      <c r="F146" s="16" t="s">
        <v>417</v>
      </c>
      <c r="G146" s="29">
        <v>7351</v>
      </c>
      <c r="H146" s="20">
        <v>4.46</v>
      </c>
      <c r="I146" s="22">
        <v>46439</v>
      </c>
      <c r="J146" s="24">
        <f>Estoque[[#This Row],[Qtd Estoque]]*Estoque[[#This Row],[Valor Unitário]]</f>
        <v>32785.46</v>
      </c>
      <c r="K146" s="34">
        <f ca="1">Estoque[[#This Row],[Validade]]-TODAY()</f>
        <v>329</v>
      </c>
      <c r="L146" s="17" t="str">
        <f ca="1">IF(Estoque[[#This Row],[Dias para Vencer]]&lt;0,"Vencido",IF(Estoque[[#This Row],[Dias para Vencer]] &lt;=30, "Risco de Vencimento","OK"))</f>
        <v>OK</v>
      </c>
    </row>
    <row r="147" spans="1:12" x14ac:dyDescent="0.25">
      <c r="A147" s="15" t="s">
        <v>415</v>
      </c>
      <c r="B147" s="16" t="s">
        <v>403</v>
      </c>
      <c r="C147" s="16" t="s">
        <v>571</v>
      </c>
      <c r="D147" s="16" t="s">
        <v>435</v>
      </c>
      <c r="E147" s="16" t="s">
        <v>367</v>
      </c>
      <c r="F147" s="16" t="s">
        <v>436</v>
      </c>
      <c r="G147" s="29">
        <v>2710</v>
      </c>
      <c r="H147" s="20">
        <v>5.57</v>
      </c>
      <c r="I147" s="22">
        <v>45551</v>
      </c>
      <c r="J147" s="24">
        <f>Estoque[[#This Row],[Qtd Estoque]]*Estoque[[#This Row],[Valor Unitário]]</f>
        <v>15094.7</v>
      </c>
      <c r="K147" s="34">
        <f ca="1">Estoque[[#This Row],[Validade]]-TODAY()</f>
        <v>-559</v>
      </c>
      <c r="L147" s="17" t="str">
        <f ca="1">IF(Estoque[[#This Row],[Dias para Vencer]]&lt;0,"Vencido",IF(Estoque[[#This Row],[Dias para Vencer]] &lt;=30, "Risco de Vencimento","OK"))</f>
        <v>Vencido</v>
      </c>
    </row>
    <row r="148" spans="1:12" x14ac:dyDescent="0.25">
      <c r="A148" s="15" t="s">
        <v>440</v>
      </c>
      <c r="B148" s="16" t="s">
        <v>433</v>
      </c>
      <c r="C148" s="16" t="s">
        <v>572</v>
      </c>
      <c r="D148" s="16" t="s">
        <v>386</v>
      </c>
      <c r="E148" s="16" t="s">
        <v>371</v>
      </c>
      <c r="F148" s="16" t="s">
        <v>396</v>
      </c>
      <c r="G148" s="29">
        <v>9738</v>
      </c>
      <c r="H148" s="20">
        <v>5.48</v>
      </c>
      <c r="I148" s="22">
        <v>45725</v>
      </c>
      <c r="J148" s="24">
        <f>Estoque[[#This Row],[Qtd Estoque]]*Estoque[[#This Row],[Valor Unitário]]</f>
        <v>53364.240000000005</v>
      </c>
      <c r="K148" s="34">
        <f ca="1">Estoque[[#This Row],[Validade]]-TODAY()</f>
        <v>-385</v>
      </c>
      <c r="L148" s="17" t="str">
        <f ca="1">IF(Estoque[[#This Row],[Dias para Vencer]]&lt;0,"Vencido",IF(Estoque[[#This Row],[Dias para Vencer]] &lt;=30, "Risco de Vencimento","OK"))</f>
        <v>Vencido</v>
      </c>
    </row>
    <row r="149" spans="1:12" x14ac:dyDescent="0.25">
      <c r="A149" s="15" t="s">
        <v>406</v>
      </c>
      <c r="B149" s="16" t="s">
        <v>418</v>
      </c>
      <c r="C149" s="16" t="s">
        <v>573</v>
      </c>
      <c r="D149" s="16" t="s">
        <v>386</v>
      </c>
      <c r="E149" s="16" t="s">
        <v>371</v>
      </c>
      <c r="F149" s="16" t="s">
        <v>396</v>
      </c>
      <c r="G149" s="29">
        <v>8083</v>
      </c>
      <c r="H149" s="20">
        <v>1.89</v>
      </c>
      <c r="I149" s="22">
        <v>45960</v>
      </c>
      <c r="J149" s="24">
        <f>Estoque[[#This Row],[Qtd Estoque]]*Estoque[[#This Row],[Valor Unitário]]</f>
        <v>15276.869999999999</v>
      </c>
      <c r="K149" s="34">
        <f ca="1">Estoque[[#This Row],[Validade]]-TODAY()</f>
        <v>-150</v>
      </c>
      <c r="L149" s="17" t="str">
        <f ca="1">IF(Estoque[[#This Row],[Dias para Vencer]]&lt;0,"Vencido",IF(Estoque[[#This Row],[Dias para Vencer]] &lt;=30, "Risco de Vencimento","OK"))</f>
        <v>Vencido</v>
      </c>
    </row>
    <row r="150" spans="1:12" x14ac:dyDescent="0.25">
      <c r="A150" s="15" t="s">
        <v>425</v>
      </c>
      <c r="B150" s="16" t="s">
        <v>394</v>
      </c>
      <c r="C150" s="16" t="s">
        <v>574</v>
      </c>
      <c r="D150" s="16" t="s">
        <v>435</v>
      </c>
      <c r="E150" s="16" t="s">
        <v>367</v>
      </c>
      <c r="F150" s="16" t="s">
        <v>436</v>
      </c>
      <c r="G150" s="29">
        <v>7383</v>
      </c>
      <c r="H150" s="20">
        <v>4.46</v>
      </c>
      <c r="I150" s="22">
        <v>46039</v>
      </c>
      <c r="J150" s="24">
        <f>Estoque[[#This Row],[Qtd Estoque]]*Estoque[[#This Row],[Valor Unitário]]</f>
        <v>32928.18</v>
      </c>
      <c r="K150" s="34">
        <f ca="1">Estoque[[#This Row],[Validade]]-TODAY()</f>
        <v>-71</v>
      </c>
      <c r="L150" s="17" t="str">
        <f ca="1">IF(Estoque[[#This Row],[Dias para Vencer]]&lt;0,"Vencido",IF(Estoque[[#This Row],[Dias para Vencer]] &lt;=30, "Risco de Vencimento","OK"))</f>
        <v>Vencido</v>
      </c>
    </row>
    <row r="151" spans="1:12" x14ac:dyDescent="0.25">
      <c r="A151" s="15" t="s">
        <v>431</v>
      </c>
      <c r="B151" s="16" t="s">
        <v>394</v>
      </c>
      <c r="C151" s="16" t="s">
        <v>575</v>
      </c>
      <c r="D151" s="16" t="s">
        <v>435</v>
      </c>
      <c r="E151" s="16" t="s">
        <v>367</v>
      </c>
      <c r="F151" s="16" t="s">
        <v>436</v>
      </c>
      <c r="G151" s="29">
        <v>5693</v>
      </c>
      <c r="H151" s="20">
        <v>5.32</v>
      </c>
      <c r="I151" s="22">
        <v>46475</v>
      </c>
      <c r="J151" s="24">
        <f>Estoque[[#This Row],[Qtd Estoque]]*Estoque[[#This Row],[Valor Unitário]]</f>
        <v>30286.760000000002</v>
      </c>
      <c r="K151" s="34">
        <f ca="1">Estoque[[#This Row],[Validade]]-TODAY()</f>
        <v>365</v>
      </c>
      <c r="L151" s="17" t="str">
        <f ca="1">IF(Estoque[[#This Row],[Dias para Vencer]]&lt;0,"Vencido",IF(Estoque[[#This Row],[Dias para Vencer]] &lt;=30, "Risco de Vencimento","OK"))</f>
        <v>OK</v>
      </c>
    </row>
    <row r="152" spans="1:12" x14ac:dyDescent="0.25">
      <c r="A152" s="15" t="s">
        <v>415</v>
      </c>
      <c r="B152" s="16" t="s">
        <v>433</v>
      </c>
      <c r="C152" s="16" t="s">
        <v>576</v>
      </c>
      <c r="D152" s="16" t="s">
        <v>391</v>
      </c>
      <c r="E152" s="16" t="s">
        <v>370</v>
      </c>
      <c r="F152" s="16" t="s">
        <v>392</v>
      </c>
      <c r="G152" s="29">
        <v>7594</v>
      </c>
      <c r="H152" s="20">
        <v>3.71</v>
      </c>
      <c r="I152" s="22">
        <v>46541</v>
      </c>
      <c r="J152" s="24">
        <f>Estoque[[#This Row],[Qtd Estoque]]*Estoque[[#This Row],[Valor Unitário]]</f>
        <v>28173.739999999998</v>
      </c>
      <c r="K152" s="34">
        <f ca="1">Estoque[[#This Row],[Validade]]-TODAY()</f>
        <v>431</v>
      </c>
      <c r="L152" s="17" t="str">
        <f ca="1">IF(Estoque[[#This Row],[Dias para Vencer]]&lt;0,"Vencido",IF(Estoque[[#This Row],[Dias para Vencer]] &lt;=30, "Risco de Vencimento","OK"))</f>
        <v>OK</v>
      </c>
    </row>
    <row r="153" spans="1:12" x14ac:dyDescent="0.25">
      <c r="A153" s="15" t="s">
        <v>442</v>
      </c>
      <c r="B153" s="16" t="s">
        <v>418</v>
      </c>
      <c r="C153" s="16" t="s">
        <v>577</v>
      </c>
      <c r="D153" s="16" t="s">
        <v>435</v>
      </c>
      <c r="E153" s="16" t="s">
        <v>367</v>
      </c>
      <c r="F153" s="16" t="s">
        <v>436</v>
      </c>
      <c r="G153" s="29">
        <v>1436</v>
      </c>
      <c r="H153" s="20">
        <v>5.45</v>
      </c>
      <c r="I153" s="22">
        <v>46378</v>
      </c>
      <c r="J153" s="24">
        <f>Estoque[[#This Row],[Qtd Estoque]]*Estoque[[#This Row],[Valor Unitário]]</f>
        <v>7826.2</v>
      </c>
      <c r="K153" s="34">
        <f ca="1">Estoque[[#This Row],[Validade]]-TODAY()</f>
        <v>268</v>
      </c>
      <c r="L153" s="17" t="str">
        <f ca="1">IF(Estoque[[#This Row],[Dias para Vencer]]&lt;0,"Vencido",IF(Estoque[[#This Row],[Dias para Vencer]] &lt;=30, "Risco de Vencimento","OK"))</f>
        <v>OK</v>
      </c>
    </row>
    <row r="154" spans="1:12" x14ac:dyDescent="0.25">
      <c r="A154" s="15" t="s">
        <v>393</v>
      </c>
      <c r="B154" s="16" t="s">
        <v>389</v>
      </c>
      <c r="C154" s="16" t="s">
        <v>578</v>
      </c>
      <c r="D154" s="16" t="s">
        <v>399</v>
      </c>
      <c r="E154" s="16" t="s">
        <v>364</v>
      </c>
      <c r="F154" s="16" t="s">
        <v>408</v>
      </c>
      <c r="G154" s="29">
        <v>2578</v>
      </c>
      <c r="H154" s="20">
        <v>2.4900000000000002</v>
      </c>
      <c r="I154" s="22">
        <v>45889</v>
      </c>
      <c r="J154" s="24">
        <f>Estoque[[#This Row],[Qtd Estoque]]*Estoque[[#This Row],[Valor Unitário]]</f>
        <v>6419.22</v>
      </c>
      <c r="K154" s="34">
        <f ca="1">Estoque[[#This Row],[Validade]]-TODAY()</f>
        <v>-221</v>
      </c>
      <c r="L154" s="17" t="str">
        <f ca="1">IF(Estoque[[#This Row],[Dias para Vencer]]&lt;0,"Vencido",IF(Estoque[[#This Row],[Dias para Vencer]] &lt;=30, "Risco de Vencimento","OK"))</f>
        <v>Vencido</v>
      </c>
    </row>
    <row r="155" spans="1:12" x14ac:dyDescent="0.25">
      <c r="A155" s="15" t="s">
        <v>509</v>
      </c>
      <c r="B155" s="16" t="s">
        <v>403</v>
      </c>
      <c r="C155" s="16" t="s">
        <v>579</v>
      </c>
      <c r="D155" s="16" t="s">
        <v>435</v>
      </c>
      <c r="E155" s="16" t="s">
        <v>367</v>
      </c>
      <c r="F155" s="16" t="s">
        <v>436</v>
      </c>
      <c r="G155" s="29">
        <v>7422</v>
      </c>
      <c r="H155" s="20">
        <v>6.47</v>
      </c>
      <c r="I155" s="22">
        <v>45361</v>
      </c>
      <c r="J155" s="24">
        <f>Estoque[[#This Row],[Qtd Estoque]]*Estoque[[#This Row],[Valor Unitário]]</f>
        <v>48020.34</v>
      </c>
      <c r="K155" s="34">
        <f ca="1">Estoque[[#This Row],[Validade]]-TODAY()</f>
        <v>-749</v>
      </c>
      <c r="L155" s="17" t="str">
        <f ca="1">IF(Estoque[[#This Row],[Dias para Vencer]]&lt;0,"Vencido",IF(Estoque[[#This Row],[Dias para Vencer]] &lt;=30, "Risco de Vencimento","OK"))</f>
        <v>Vencido</v>
      </c>
    </row>
    <row r="156" spans="1:12" x14ac:dyDescent="0.25">
      <c r="A156" s="15" t="s">
        <v>393</v>
      </c>
      <c r="B156" s="16" t="s">
        <v>389</v>
      </c>
      <c r="C156" s="16" t="s">
        <v>580</v>
      </c>
      <c r="D156" s="16" t="s">
        <v>435</v>
      </c>
      <c r="E156" s="16" t="s">
        <v>367</v>
      </c>
      <c r="F156" s="16" t="s">
        <v>436</v>
      </c>
      <c r="G156" s="29">
        <v>6802</v>
      </c>
      <c r="H156" s="20">
        <v>2.4900000000000002</v>
      </c>
      <c r="I156" s="22">
        <v>45321</v>
      </c>
      <c r="J156" s="24">
        <f>Estoque[[#This Row],[Qtd Estoque]]*Estoque[[#This Row],[Valor Unitário]]</f>
        <v>16936.980000000003</v>
      </c>
      <c r="K156" s="34">
        <f ca="1">Estoque[[#This Row],[Validade]]-TODAY()</f>
        <v>-789</v>
      </c>
      <c r="L156" s="17" t="str">
        <f ca="1">IF(Estoque[[#This Row],[Dias para Vencer]]&lt;0,"Vencido",IF(Estoque[[#This Row],[Dias para Vencer]] &lt;=30, "Risco de Vencimento","OK"))</f>
        <v>Vencido</v>
      </c>
    </row>
    <row r="157" spans="1:12" x14ac:dyDescent="0.25">
      <c r="A157" s="15" t="s">
        <v>393</v>
      </c>
      <c r="B157" s="16" t="s">
        <v>389</v>
      </c>
      <c r="C157" s="16" t="s">
        <v>581</v>
      </c>
      <c r="D157" s="16" t="s">
        <v>399</v>
      </c>
      <c r="E157" s="16" t="s">
        <v>363</v>
      </c>
      <c r="F157" s="16" t="s">
        <v>400</v>
      </c>
      <c r="G157" s="29">
        <v>2797</v>
      </c>
      <c r="H157" s="20">
        <v>2.4900000000000002</v>
      </c>
      <c r="I157" s="22">
        <v>46486</v>
      </c>
      <c r="J157" s="24">
        <f>Estoque[[#This Row],[Qtd Estoque]]*Estoque[[#This Row],[Valor Unitário]]</f>
        <v>6964.5300000000007</v>
      </c>
      <c r="K157" s="34">
        <f ca="1">Estoque[[#This Row],[Validade]]-TODAY()</f>
        <v>376</v>
      </c>
      <c r="L157" s="17" t="str">
        <f ca="1">IF(Estoque[[#This Row],[Dias para Vencer]]&lt;0,"Vencido",IF(Estoque[[#This Row],[Dias para Vencer]] &lt;=30, "Risco de Vencimento","OK"))</f>
        <v>OK</v>
      </c>
    </row>
    <row r="158" spans="1:12" x14ac:dyDescent="0.25">
      <c r="A158" s="15" t="s">
        <v>437</v>
      </c>
      <c r="B158" s="16" t="s">
        <v>389</v>
      </c>
      <c r="C158" s="16" t="s">
        <v>582</v>
      </c>
      <c r="D158" s="16" t="s">
        <v>391</v>
      </c>
      <c r="E158" s="16" t="s">
        <v>369</v>
      </c>
      <c r="F158" s="16" t="s">
        <v>427</v>
      </c>
      <c r="G158" s="29">
        <v>2031</v>
      </c>
      <c r="H158" s="20">
        <v>8.14</v>
      </c>
      <c r="I158" s="22">
        <v>45949</v>
      </c>
      <c r="J158" s="24">
        <f>Estoque[[#This Row],[Qtd Estoque]]*Estoque[[#This Row],[Valor Unitário]]</f>
        <v>16532.34</v>
      </c>
      <c r="K158" s="34">
        <f ca="1">Estoque[[#This Row],[Validade]]-TODAY()</f>
        <v>-161</v>
      </c>
      <c r="L158" s="17" t="str">
        <f ca="1">IF(Estoque[[#This Row],[Dias para Vencer]]&lt;0,"Vencido",IF(Estoque[[#This Row],[Dias para Vencer]] &lt;=30, "Risco de Vencimento","OK"))</f>
        <v>Vencido</v>
      </c>
    </row>
    <row r="159" spans="1:12" x14ac:dyDescent="0.25">
      <c r="A159" s="15" t="s">
        <v>410</v>
      </c>
      <c r="B159" s="16" t="s">
        <v>418</v>
      </c>
      <c r="C159" s="16" t="s">
        <v>583</v>
      </c>
      <c r="D159" s="16" t="s">
        <v>391</v>
      </c>
      <c r="E159" s="16" t="s">
        <v>370</v>
      </c>
      <c r="F159" s="16" t="s">
        <v>392</v>
      </c>
      <c r="G159" s="29">
        <v>4801</v>
      </c>
      <c r="H159" s="20">
        <v>8.51</v>
      </c>
      <c r="I159" s="22">
        <v>45447</v>
      </c>
      <c r="J159" s="24">
        <f>Estoque[[#This Row],[Qtd Estoque]]*Estoque[[#This Row],[Valor Unitário]]</f>
        <v>40856.51</v>
      </c>
      <c r="K159" s="34">
        <f ca="1">Estoque[[#This Row],[Validade]]-TODAY()</f>
        <v>-663</v>
      </c>
      <c r="L159" s="17" t="str">
        <f ca="1">IF(Estoque[[#This Row],[Dias para Vencer]]&lt;0,"Vencido",IF(Estoque[[#This Row],[Dias para Vencer]] &lt;=30, "Risco de Vencimento","OK"))</f>
        <v>Vencido</v>
      </c>
    </row>
    <row r="160" spans="1:12" x14ac:dyDescent="0.25">
      <c r="A160" s="15" t="s">
        <v>393</v>
      </c>
      <c r="B160" s="16" t="s">
        <v>394</v>
      </c>
      <c r="C160" s="16" t="s">
        <v>584</v>
      </c>
      <c r="D160" s="16" t="s">
        <v>399</v>
      </c>
      <c r="E160" s="16" t="s">
        <v>366</v>
      </c>
      <c r="F160" s="16" t="s">
        <v>417</v>
      </c>
      <c r="G160" s="29">
        <v>3125</v>
      </c>
      <c r="H160" s="20">
        <v>2.48</v>
      </c>
      <c r="I160" s="22">
        <v>45507</v>
      </c>
      <c r="J160" s="24">
        <f>Estoque[[#This Row],[Qtd Estoque]]*Estoque[[#This Row],[Valor Unitário]]</f>
        <v>7750</v>
      </c>
      <c r="K160" s="34">
        <f ca="1">Estoque[[#This Row],[Validade]]-TODAY()</f>
        <v>-603</v>
      </c>
      <c r="L160" s="17" t="str">
        <f ca="1">IF(Estoque[[#This Row],[Dias para Vencer]]&lt;0,"Vencido",IF(Estoque[[#This Row],[Dias para Vencer]] &lt;=30, "Risco de Vencimento","OK"))</f>
        <v>Vencido</v>
      </c>
    </row>
    <row r="161" spans="1:12" x14ac:dyDescent="0.25">
      <c r="A161" s="15" t="s">
        <v>423</v>
      </c>
      <c r="B161" s="16" t="s">
        <v>433</v>
      </c>
      <c r="C161" s="16" t="s">
        <v>585</v>
      </c>
      <c r="D161" s="16" t="s">
        <v>391</v>
      </c>
      <c r="E161" s="16" t="s">
        <v>370</v>
      </c>
      <c r="F161" s="16" t="s">
        <v>392</v>
      </c>
      <c r="G161" s="29">
        <v>4057</v>
      </c>
      <c r="H161" s="20">
        <v>6.57</v>
      </c>
      <c r="I161" s="22">
        <v>45704</v>
      </c>
      <c r="J161" s="24">
        <f>Estoque[[#This Row],[Qtd Estoque]]*Estoque[[#This Row],[Valor Unitário]]</f>
        <v>26654.49</v>
      </c>
      <c r="K161" s="34">
        <f ca="1">Estoque[[#This Row],[Validade]]-TODAY()</f>
        <v>-406</v>
      </c>
      <c r="L161" s="17" t="str">
        <f ca="1">IF(Estoque[[#This Row],[Dias para Vencer]]&lt;0,"Vencido",IF(Estoque[[#This Row],[Dias para Vencer]] &lt;=30, "Risco de Vencimento","OK"))</f>
        <v>Vencido</v>
      </c>
    </row>
    <row r="162" spans="1:12" x14ac:dyDescent="0.25">
      <c r="A162" s="15" t="s">
        <v>480</v>
      </c>
      <c r="B162" s="16" t="s">
        <v>389</v>
      </c>
      <c r="C162" s="16" t="s">
        <v>586</v>
      </c>
      <c r="D162" s="16" t="s">
        <v>391</v>
      </c>
      <c r="E162" s="16" t="s">
        <v>370</v>
      </c>
      <c r="F162" s="16" t="s">
        <v>392</v>
      </c>
      <c r="G162" s="29">
        <v>4706</v>
      </c>
      <c r="H162" s="20">
        <v>9.17</v>
      </c>
      <c r="I162" s="22">
        <v>46529</v>
      </c>
      <c r="J162" s="24">
        <f>Estoque[[#This Row],[Qtd Estoque]]*Estoque[[#This Row],[Valor Unitário]]</f>
        <v>43154.02</v>
      </c>
      <c r="K162" s="34">
        <f ca="1">Estoque[[#This Row],[Validade]]-TODAY()</f>
        <v>419</v>
      </c>
      <c r="L162" s="17" t="str">
        <f ca="1">IF(Estoque[[#This Row],[Dias para Vencer]]&lt;0,"Vencido",IF(Estoque[[#This Row],[Dias para Vencer]] &lt;=30, "Risco de Vencimento","OK"))</f>
        <v>OK</v>
      </c>
    </row>
    <row r="163" spans="1:12" x14ac:dyDescent="0.25">
      <c r="A163" s="15" t="s">
        <v>480</v>
      </c>
      <c r="B163" s="16" t="s">
        <v>394</v>
      </c>
      <c r="C163" s="16" t="s">
        <v>587</v>
      </c>
      <c r="D163" s="16" t="s">
        <v>391</v>
      </c>
      <c r="E163" s="16" t="s">
        <v>369</v>
      </c>
      <c r="F163" s="16" t="s">
        <v>427</v>
      </c>
      <c r="G163" s="29">
        <v>4778</v>
      </c>
      <c r="H163" s="20">
        <v>1.69</v>
      </c>
      <c r="I163" s="22">
        <v>46164</v>
      </c>
      <c r="J163" s="24">
        <f>Estoque[[#This Row],[Qtd Estoque]]*Estoque[[#This Row],[Valor Unitário]]</f>
        <v>8074.82</v>
      </c>
      <c r="K163" s="34">
        <f ca="1">Estoque[[#This Row],[Validade]]-TODAY()</f>
        <v>54</v>
      </c>
      <c r="L163" s="17" t="str">
        <f ca="1">IF(Estoque[[#This Row],[Dias para Vencer]]&lt;0,"Vencido",IF(Estoque[[#This Row],[Dias para Vencer]] &lt;=30, "Risco de Vencimento","OK"))</f>
        <v>OK</v>
      </c>
    </row>
    <row r="164" spans="1:12" x14ac:dyDescent="0.25">
      <c r="A164" s="15" t="s">
        <v>425</v>
      </c>
      <c r="B164" s="16" t="s">
        <v>394</v>
      </c>
      <c r="C164" s="16" t="s">
        <v>588</v>
      </c>
      <c r="D164" s="16" t="s">
        <v>386</v>
      </c>
      <c r="E164" s="16" t="s">
        <v>372</v>
      </c>
      <c r="F164" s="16" t="s">
        <v>405</v>
      </c>
      <c r="G164" s="29">
        <v>3933</v>
      </c>
      <c r="H164" s="20">
        <v>4.46</v>
      </c>
      <c r="I164" s="22">
        <v>46537</v>
      </c>
      <c r="J164" s="24">
        <f>Estoque[[#This Row],[Qtd Estoque]]*Estoque[[#This Row],[Valor Unitário]]</f>
        <v>17541.18</v>
      </c>
      <c r="K164" s="34">
        <f ca="1">Estoque[[#This Row],[Validade]]-TODAY()</f>
        <v>427</v>
      </c>
      <c r="L164" s="17" t="str">
        <f ca="1">IF(Estoque[[#This Row],[Dias para Vencer]]&lt;0,"Vencido",IF(Estoque[[#This Row],[Dias para Vencer]] &lt;=30, "Risco de Vencimento","OK"))</f>
        <v>OK</v>
      </c>
    </row>
    <row r="165" spans="1:12" x14ac:dyDescent="0.25">
      <c r="A165" s="15" t="s">
        <v>406</v>
      </c>
      <c r="B165" s="16" t="s">
        <v>433</v>
      </c>
      <c r="C165" s="16" t="s">
        <v>589</v>
      </c>
      <c r="D165" s="16" t="s">
        <v>435</v>
      </c>
      <c r="E165" s="16" t="s">
        <v>368</v>
      </c>
      <c r="F165" s="16" t="s">
        <v>463</v>
      </c>
      <c r="G165" s="29">
        <v>3229</v>
      </c>
      <c r="H165" s="20">
        <v>5.79</v>
      </c>
      <c r="I165" s="22">
        <v>45868</v>
      </c>
      <c r="J165" s="24">
        <f>Estoque[[#This Row],[Qtd Estoque]]*Estoque[[#This Row],[Valor Unitário]]</f>
        <v>18695.91</v>
      </c>
      <c r="K165" s="34">
        <f ca="1">Estoque[[#This Row],[Validade]]-TODAY()</f>
        <v>-242</v>
      </c>
      <c r="L165" s="17" t="str">
        <f ca="1">IF(Estoque[[#This Row],[Dias para Vencer]]&lt;0,"Vencido",IF(Estoque[[#This Row],[Dias para Vencer]] &lt;=30, "Risco de Vencimento","OK"))</f>
        <v>Vencido</v>
      </c>
    </row>
    <row r="166" spans="1:12" x14ac:dyDescent="0.25">
      <c r="A166" s="15" t="s">
        <v>431</v>
      </c>
      <c r="B166" s="16" t="s">
        <v>433</v>
      </c>
      <c r="C166" s="16" t="s">
        <v>590</v>
      </c>
      <c r="D166" s="16" t="s">
        <v>386</v>
      </c>
      <c r="E166" s="16" t="s">
        <v>371</v>
      </c>
      <c r="F166" s="16" t="s">
        <v>396</v>
      </c>
      <c r="G166" s="29">
        <v>2440</v>
      </c>
      <c r="H166" s="20">
        <v>5.76</v>
      </c>
      <c r="I166" s="22">
        <v>45565</v>
      </c>
      <c r="J166" s="24">
        <f>Estoque[[#This Row],[Qtd Estoque]]*Estoque[[#This Row],[Valor Unitário]]</f>
        <v>14054.4</v>
      </c>
      <c r="K166" s="34">
        <f ca="1">Estoque[[#This Row],[Validade]]-TODAY()</f>
        <v>-545</v>
      </c>
      <c r="L166" s="17" t="str">
        <f ca="1">IF(Estoque[[#This Row],[Dias para Vencer]]&lt;0,"Vencido",IF(Estoque[[#This Row],[Dias para Vencer]] &lt;=30, "Risco de Vencimento","OK"))</f>
        <v>Vencido</v>
      </c>
    </row>
    <row r="167" spans="1:12" x14ac:dyDescent="0.25">
      <c r="A167" s="15" t="s">
        <v>428</v>
      </c>
      <c r="B167" s="16" t="s">
        <v>418</v>
      </c>
      <c r="C167" s="16" t="s">
        <v>591</v>
      </c>
      <c r="D167" s="16" t="s">
        <v>391</v>
      </c>
      <c r="E167" s="16" t="s">
        <v>370</v>
      </c>
      <c r="F167" s="16" t="s">
        <v>392</v>
      </c>
      <c r="G167" s="29">
        <v>2952</v>
      </c>
      <c r="H167" s="20">
        <v>3.77</v>
      </c>
      <c r="I167" s="22">
        <v>45962</v>
      </c>
      <c r="J167" s="24">
        <f>Estoque[[#This Row],[Qtd Estoque]]*Estoque[[#This Row],[Valor Unitário]]</f>
        <v>11129.04</v>
      </c>
      <c r="K167" s="34">
        <f ca="1">Estoque[[#This Row],[Validade]]-TODAY()</f>
        <v>-148</v>
      </c>
      <c r="L167" s="17" t="str">
        <f ca="1">IF(Estoque[[#This Row],[Dias para Vencer]]&lt;0,"Vencido",IF(Estoque[[#This Row],[Dias para Vencer]] &lt;=30, "Risco de Vencimento","OK"))</f>
        <v>Vencido</v>
      </c>
    </row>
    <row r="168" spans="1:12" x14ac:dyDescent="0.25">
      <c r="A168" s="15" t="s">
        <v>421</v>
      </c>
      <c r="B168" s="16" t="s">
        <v>394</v>
      </c>
      <c r="C168" s="16" t="s">
        <v>592</v>
      </c>
      <c r="D168" s="16" t="s">
        <v>435</v>
      </c>
      <c r="E168" s="16" t="s">
        <v>368</v>
      </c>
      <c r="F168" s="16" t="s">
        <v>463</v>
      </c>
      <c r="G168" s="29">
        <v>6483</v>
      </c>
      <c r="H168" s="20">
        <v>4.2699999999999996</v>
      </c>
      <c r="I168" s="22">
        <v>46135</v>
      </c>
      <c r="J168" s="24">
        <f>Estoque[[#This Row],[Qtd Estoque]]*Estoque[[#This Row],[Valor Unitário]]</f>
        <v>27682.409999999996</v>
      </c>
      <c r="K168" s="34">
        <f ca="1">Estoque[[#This Row],[Validade]]-TODAY()</f>
        <v>25</v>
      </c>
      <c r="L168" s="17" t="str">
        <f ca="1">IF(Estoque[[#This Row],[Dias para Vencer]]&lt;0,"Vencido",IF(Estoque[[#This Row],[Dias para Vencer]] &lt;=30, "Risco de Vencimento","OK"))</f>
        <v>Risco de Vencimento</v>
      </c>
    </row>
    <row r="169" spans="1:12" x14ac:dyDescent="0.25">
      <c r="A169" s="15" t="s">
        <v>428</v>
      </c>
      <c r="B169" s="16" t="s">
        <v>403</v>
      </c>
      <c r="C169" s="16" t="s">
        <v>593</v>
      </c>
      <c r="D169" s="16" t="s">
        <v>386</v>
      </c>
      <c r="E169" s="16" t="s">
        <v>372</v>
      </c>
      <c r="F169" s="16" t="s">
        <v>405</v>
      </c>
      <c r="G169" s="29">
        <v>3363</v>
      </c>
      <c r="H169" s="20">
        <v>6.68</v>
      </c>
      <c r="I169" s="22">
        <v>45450</v>
      </c>
      <c r="J169" s="24">
        <f>Estoque[[#This Row],[Qtd Estoque]]*Estoque[[#This Row],[Valor Unitário]]</f>
        <v>22464.84</v>
      </c>
      <c r="K169" s="34">
        <f ca="1">Estoque[[#This Row],[Validade]]-TODAY()</f>
        <v>-660</v>
      </c>
      <c r="L169" s="17" t="str">
        <f ca="1">IF(Estoque[[#This Row],[Dias para Vencer]]&lt;0,"Vencido",IF(Estoque[[#This Row],[Dias para Vencer]] &lt;=30, "Risco de Vencimento","OK"))</f>
        <v>Vencido</v>
      </c>
    </row>
    <row r="170" spans="1:12" x14ac:dyDescent="0.25">
      <c r="A170" s="15" t="s">
        <v>425</v>
      </c>
      <c r="B170" s="16" t="s">
        <v>394</v>
      </c>
      <c r="C170" s="16" t="s">
        <v>594</v>
      </c>
      <c r="D170" s="16" t="s">
        <v>391</v>
      </c>
      <c r="E170" s="16" t="s">
        <v>369</v>
      </c>
      <c r="F170" s="16" t="s">
        <v>427</v>
      </c>
      <c r="G170" s="29">
        <v>3045</v>
      </c>
      <c r="H170" s="20">
        <v>4.46</v>
      </c>
      <c r="I170" s="22">
        <v>46290</v>
      </c>
      <c r="J170" s="24">
        <f>Estoque[[#This Row],[Qtd Estoque]]*Estoque[[#This Row],[Valor Unitário]]</f>
        <v>13580.7</v>
      </c>
      <c r="K170" s="34">
        <f ca="1">Estoque[[#This Row],[Validade]]-TODAY()</f>
        <v>180</v>
      </c>
      <c r="L170" s="17" t="str">
        <f ca="1">IF(Estoque[[#This Row],[Dias para Vencer]]&lt;0,"Vencido",IF(Estoque[[#This Row],[Dias para Vencer]] &lt;=30, "Risco de Vencimento","OK"))</f>
        <v>OK</v>
      </c>
    </row>
    <row r="171" spans="1:12" x14ac:dyDescent="0.25">
      <c r="A171" s="15" t="s">
        <v>397</v>
      </c>
      <c r="B171" s="16" t="s">
        <v>403</v>
      </c>
      <c r="C171" s="16" t="s">
        <v>595</v>
      </c>
      <c r="D171" s="16" t="s">
        <v>435</v>
      </c>
      <c r="E171" s="16" t="s">
        <v>368</v>
      </c>
      <c r="F171" s="16" t="s">
        <v>463</v>
      </c>
      <c r="G171" s="29">
        <v>7494</v>
      </c>
      <c r="H171" s="20">
        <v>8.98</v>
      </c>
      <c r="I171" s="22">
        <v>46706</v>
      </c>
      <c r="J171" s="24">
        <f>Estoque[[#This Row],[Qtd Estoque]]*Estoque[[#This Row],[Valor Unitário]]</f>
        <v>67296.12000000001</v>
      </c>
      <c r="K171" s="34">
        <f ca="1">Estoque[[#This Row],[Validade]]-TODAY()</f>
        <v>596</v>
      </c>
      <c r="L171" s="17" t="str">
        <f ca="1">IF(Estoque[[#This Row],[Dias para Vencer]]&lt;0,"Vencido",IF(Estoque[[#This Row],[Dias para Vencer]] &lt;=30, "Risco de Vencimento","OK"))</f>
        <v>OK</v>
      </c>
    </row>
    <row r="172" spans="1:12" x14ac:dyDescent="0.25">
      <c r="A172" s="15" t="s">
        <v>428</v>
      </c>
      <c r="B172" s="16" t="s">
        <v>418</v>
      </c>
      <c r="C172" s="16" t="s">
        <v>596</v>
      </c>
      <c r="D172" s="16" t="s">
        <v>386</v>
      </c>
      <c r="E172" s="16" t="s">
        <v>372</v>
      </c>
      <c r="F172" s="16" t="s">
        <v>405</v>
      </c>
      <c r="G172" s="29">
        <v>3792</v>
      </c>
      <c r="H172" s="20">
        <v>3.77</v>
      </c>
      <c r="I172" s="22">
        <v>46555</v>
      </c>
      <c r="J172" s="24">
        <f>Estoque[[#This Row],[Qtd Estoque]]*Estoque[[#This Row],[Valor Unitário]]</f>
        <v>14295.84</v>
      </c>
      <c r="K172" s="34">
        <f ca="1">Estoque[[#This Row],[Validade]]-TODAY()</f>
        <v>445</v>
      </c>
      <c r="L172" s="17" t="str">
        <f ca="1">IF(Estoque[[#This Row],[Dias para Vencer]]&lt;0,"Vencido",IF(Estoque[[#This Row],[Dias para Vencer]] &lt;=30, "Risco de Vencimento","OK"))</f>
        <v>OK</v>
      </c>
    </row>
    <row r="173" spans="1:12" x14ac:dyDescent="0.25">
      <c r="A173" s="15" t="s">
        <v>423</v>
      </c>
      <c r="B173" s="16" t="s">
        <v>433</v>
      </c>
      <c r="C173" s="16" t="s">
        <v>597</v>
      </c>
      <c r="D173" s="16" t="s">
        <v>435</v>
      </c>
      <c r="E173" s="16" t="s">
        <v>368</v>
      </c>
      <c r="F173" s="16" t="s">
        <v>463</v>
      </c>
      <c r="G173" s="29">
        <v>5779</v>
      </c>
      <c r="H173" s="20">
        <v>6.57</v>
      </c>
      <c r="I173" s="22">
        <v>45972</v>
      </c>
      <c r="J173" s="24">
        <f>Estoque[[#This Row],[Qtd Estoque]]*Estoque[[#This Row],[Valor Unitário]]</f>
        <v>37968.03</v>
      </c>
      <c r="K173" s="34">
        <f ca="1">Estoque[[#This Row],[Validade]]-TODAY()</f>
        <v>-138</v>
      </c>
      <c r="L173" s="17" t="str">
        <f ca="1">IF(Estoque[[#This Row],[Dias para Vencer]]&lt;0,"Vencido",IF(Estoque[[#This Row],[Dias para Vencer]] &lt;=30, "Risco de Vencimento","OK"))</f>
        <v>Vencido</v>
      </c>
    </row>
    <row r="174" spans="1:12" x14ac:dyDescent="0.25">
      <c r="A174" s="15" t="s">
        <v>440</v>
      </c>
      <c r="B174" s="16" t="s">
        <v>418</v>
      </c>
      <c r="C174" s="16" t="s">
        <v>598</v>
      </c>
      <c r="D174" s="16" t="s">
        <v>435</v>
      </c>
      <c r="E174" s="16" t="s">
        <v>368</v>
      </c>
      <c r="F174" s="16" t="s">
        <v>463</v>
      </c>
      <c r="G174" s="29">
        <v>5024</v>
      </c>
      <c r="H174" s="20">
        <v>7.16</v>
      </c>
      <c r="I174" s="22">
        <v>46679</v>
      </c>
      <c r="J174" s="24">
        <f>Estoque[[#This Row],[Qtd Estoque]]*Estoque[[#This Row],[Valor Unitário]]</f>
        <v>35971.840000000004</v>
      </c>
      <c r="K174" s="34">
        <f ca="1">Estoque[[#This Row],[Validade]]-TODAY()</f>
        <v>569</v>
      </c>
      <c r="L174" s="17" t="str">
        <f ca="1">IF(Estoque[[#This Row],[Dias para Vencer]]&lt;0,"Vencido",IF(Estoque[[#This Row],[Dias para Vencer]] &lt;=30, "Risco de Vencimento","OK"))</f>
        <v>OK</v>
      </c>
    </row>
    <row r="175" spans="1:12" x14ac:dyDescent="0.25">
      <c r="A175" s="15" t="s">
        <v>428</v>
      </c>
      <c r="B175" s="16" t="s">
        <v>411</v>
      </c>
      <c r="C175" s="16" t="s">
        <v>599</v>
      </c>
      <c r="D175" s="16" t="s">
        <v>435</v>
      </c>
      <c r="E175" s="16" t="s">
        <v>368</v>
      </c>
      <c r="F175" s="16" t="s">
        <v>463</v>
      </c>
      <c r="G175" s="29">
        <v>8760</v>
      </c>
      <c r="H175" s="20">
        <v>7.52</v>
      </c>
      <c r="I175" s="22">
        <v>46561</v>
      </c>
      <c r="J175" s="24">
        <f>Estoque[[#This Row],[Qtd Estoque]]*Estoque[[#This Row],[Valor Unitário]]</f>
        <v>65875.199999999997</v>
      </c>
      <c r="K175" s="34">
        <f ca="1">Estoque[[#This Row],[Validade]]-TODAY()</f>
        <v>451</v>
      </c>
      <c r="L175" s="17" t="str">
        <f ca="1">IF(Estoque[[#This Row],[Dias para Vencer]]&lt;0,"Vencido",IF(Estoque[[#This Row],[Dias para Vencer]] &lt;=30, "Risco de Vencimento","OK"))</f>
        <v>OK</v>
      </c>
    </row>
    <row r="176" spans="1:12" x14ac:dyDescent="0.25">
      <c r="A176" s="15" t="s">
        <v>437</v>
      </c>
      <c r="B176" s="16" t="s">
        <v>411</v>
      </c>
      <c r="C176" s="16" t="s">
        <v>600</v>
      </c>
      <c r="D176" s="16" t="s">
        <v>399</v>
      </c>
      <c r="E176" s="16" t="s">
        <v>366</v>
      </c>
      <c r="F176" s="16" t="s">
        <v>417</v>
      </c>
      <c r="G176" s="29">
        <v>1394</v>
      </c>
      <c r="H176" s="20">
        <v>6.46</v>
      </c>
      <c r="I176" s="22">
        <v>46216</v>
      </c>
      <c r="J176" s="24">
        <f>Estoque[[#This Row],[Qtd Estoque]]*Estoque[[#This Row],[Valor Unitário]]</f>
        <v>9005.24</v>
      </c>
      <c r="K176" s="34">
        <f ca="1">Estoque[[#This Row],[Validade]]-TODAY()</f>
        <v>106</v>
      </c>
      <c r="L176" s="17" t="str">
        <f ca="1">IF(Estoque[[#This Row],[Dias para Vencer]]&lt;0,"Vencido",IF(Estoque[[#This Row],[Dias para Vencer]] &lt;=30, "Risco de Vencimento","OK"))</f>
        <v>OK</v>
      </c>
    </row>
    <row r="177" spans="1:12" x14ac:dyDescent="0.25">
      <c r="A177" s="15" t="s">
        <v>431</v>
      </c>
      <c r="B177" s="16" t="s">
        <v>401</v>
      </c>
      <c r="C177" s="16" t="s">
        <v>601</v>
      </c>
      <c r="D177" s="16" t="s">
        <v>386</v>
      </c>
      <c r="E177" s="16" t="s">
        <v>372</v>
      </c>
      <c r="F177" s="16" t="s">
        <v>405</v>
      </c>
      <c r="G177" s="29">
        <v>6895</v>
      </c>
      <c r="H177" s="20">
        <v>8.85</v>
      </c>
      <c r="I177" s="22">
        <v>45911</v>
      </c>
      <c r="J177" s="24">
        <f>Estoque[[#This Row],[Qtd Estoque]]*Estoque[[#This Row],[Valor Unitário]]</f>
        <v>61020.75</v>
      </c>
      <c r="K177" s="34">
        <f ca="1">Estoque[[#This Row],[Validade]]-TODAY()</f>
        <v>-199</v>
      </c>
      <c r="L177" s="17" t="str">
        <f ca="1">IF(Estoque[[#This Row],[Dias para Vencer]]&lt;0,"Vencido",IF(Estoque[[#This Row],[Dias para Vencer]] &lt;=30, "Risco de Vencimento","OK"))</f>
        <v>Vencido</v>
      </c>
    </row>
    <row r="178" spans="1:12" x14ac:dyDescent="0.25">
      <c r="A178" s="15" t="s">
        <v>431</v>
      </c>
      <c r="B178" s="16" t="s">
        <v>403</v>
      </c>
      <c r="C178" s="16" t="s">
        <v>602</v>
      </c>
      <c r="D178" s="16" t="s">
        <v>391</v>
      </c>
      <c r="E178" s="16" t="s">
        <v>370</v>
      </c>
      <c r="F178" s="16" t="s">
        <v>392</v>
      </c>
      <c r="G178" s="29">
        <v>5779</v>
      </c>
      <c r="H178" s="20">
        <v>5.7</v>
      </c>
      <c r="I178" s="22">
        <v>46390</v>
      </c>
      <c r="J178" s="24">
        <f>Estoque[[#This Row],[Qtd Estoque]]*Estoque[[#This Row],[Valor Unitário]]</f>
        <v>32940.300000000003</v>
      </c>
      <c r="K178" s="34">
        <f ca="1">Estoque[[#This Row],[Validade]]-TODAY()</f>
        <v>280</v>
      </c>
      <c r="L178" s="17" t="str">
        <f ca="1">IF(Estoque[[#This Row],[Dias para Vencer]]&lt;0,"Vencido",IF(Estoque[[#This Row],[Dias para Vencer]] &lt;=30, "Risco de Vencimento","OK"))</f>
        <v>OK</v>
      </c>
    </row>
    <row r="179" spans="1:12" x14ac:dyDescent="0.25">
      <c r="A179" s="15" t="s">
        <v>440</v>
      </c>
      <c r="B179" s="16" t="s">
        <v>418</v>
      </c>
      <c r="C179" s="16" t="s">
        <v>603</v>
      </c>
      <c r="D179" s="16" t="s">
        <v>391</v>
      </c>
      <c r="E179" s="16" t="s">
        <v>369</v>
      </c>
      <c r="F179" s="16" t="s">
        <v>427</v>
      </c>
      <c r="G179" s="29">
        <v>1127</v>
      </c>
      <c r="H179" s="20">
        <v>7.16</v>
      </c>
      <c r="I179" s="22">
        <v>46298</v>
      </c>
      <c r="J179" s="24">
        <f>Estoque[[#This Row],[Qtd Estoque]]*Estoque[[#This Row],[Valor Unitário]]</f>
        <v>8069.32</v>
      </c>
      <c r="K179" s="34">
        <f ca="1">Estoque[[#This Row],[Validade]]-TODAY()</f>
        <v>188</v>
      </c>
      <c r="L179" s="17" t="str">
        <f ca="1">IF(Estoque[[#This Row],[Dias para Vencer]]&lt;0,"Vencido",IF(Estoque[[#This Row],[Dias para Vencer]] &lt;=30, "Risco de Vencimento","OK"))</f>
        <v>OK</v>
      </c>
    </row>
    <row r="180" spans="1:12" x14ac:dyDescent="0.25">
      <c r="A180" s="15" t="s">
        <v>415</v>
      </c>
      <c r="B180" s="16" t="s">
        <v>403</v>
      </c>
      <c r="C180" s="16" t="s">
        <v>604</v>
      </c>
      <c r="D180" s="16" t="s">
        <v>386</v>
      </c>
      <c r="E180" s="16" t="s">
        <v>372</v>
      </c>
      <c r="F180" s="16" t="s">
        <v>405</v>
      </c>
      <c r="G180" s="29">
        <v>6864</v>
      </c>
      <c r="H180" s="20">
        <v>5.57</v>
      </c>
      <c r="I180" s="22">
        <v>46529</v>
      </c>
      <c r="J180" s="24">
        <f>Estoque[[#This Row],[Qtd Estoque]]*Estoque[[#This Row],[Valor Unitário]]</f>
        <v>38232.480000000003</v>
      </c>
      <c r="K180" s="34">
        <f ca="1">Estoque[[#This Row],[Validade]]-TODAY()</f>
        <v>419</v>
      </c>
      <c r="L180" s="17" t="str">
        <f ca="1">IF(Estoque[[#This Row],[Dias para Vencer]]&lt;0,"Vencido",IF(Estoque[[#This Row],[Dias para Vencer]] &lt;=30, "Risco de Vencimento","OK"))</f>
        <v>OK</v>
      </c>
    </row>
    <row r="181" spans="1:12" x14ac:dyDescent="0.25">
      <c r="A181" s="15" t="s">
        <v>442</v>
      </c>
      <c r="B181" s="16" t="s">
        <v>433</v>
      </c>
      <c r="C181" s="16" t="s">
        <v>605</v>
      </c>
      <c r="D181" s="16" t="s">
        <v>391</v>
      </c>
      <c r="E181" s="16" t="s">
        <v>369</v>
      </c>
      <c r="F181" s="16" t="s">
        <v>427</v>
      </c>
      <c r="G181" s="29">
        <v>7368</v>
      </c>
      <c r="H181" s="20">
        <v>7.95</v>
      </c>
      <c r="I181" s="22">
        <v>45751</v>
      </c>
      <c r="J181" s="24">
        <f>Estoque[[#This Row],[Qtd Estoque]]*Estoque[[#This Row],[Valor Unitário]]</f>
        <v>58575.6</v>
      </c>
      <c r="K181" s="34">
        <f ca="1">Estoque[[#This Row],[Validade]]-TODAY()</f>
        <v>-359</v>
      </c>
      <c r="L181" s="17" t="str">
        <f ca="1">IF(Estoque[[#This Row],[Dias para Vencer]]&lt;0,"Vencido",IF(Estoque[[#This Row],[Dias para Vencer]] &lt;=30, "Risco de Vencimento","OK"))</f>
        <v>Vencido</v>
      </c>
    </row>
    <row r="182" spans="1:12" x14ac:dyDescent="0.25">
      <c r="A182" s="15" t="s">
        <v>410</v>
      </c>
      <c r="B182" s="16" t="s">
        <v>418</v>
      </c>
      <c r="C182" s="16" t="s">
        <v>606</v>
      </c>
      <c r="D182" s="16" t="s">
        <v>399</v>
      </c>
      <c r="E182" s="16" t="s">
        <v>365</v>
      </c>
      <c r="F182" s="16" t="s">
        <v>414</v>
      </c>
      <c r="G182" s="29">
        <v>4780</v>
      </c>
      <c r="H182" s="20">
        <v>8.51</v>
      </c>
      <c r="I182" s="22">
        <v>46702</v>
      </c>
      <c r="J182" s="24">
        <f>Estoque[[#This Row],[Qtd Estoque]]*Estoque[[#This Row],[Valor Unitário]]</f>
        <v>40677.799999999996</v>
      </c>
      <c r="K182" s="34">
        <f ca="1">Estoque[[#This Row],[Validade]]-TODAY()</f>
        <v>592</v>
      </c>
      <c r="L182" s="17" t="str">
        <f ca="1">IF(Estoque[[#This Row],[Dias para Vencer]]&lt;0,"Vencido",IF(Estoque[[#This Row],[Dias para Vencer]] &lt;=30, "Risco de Vencimento","OK"))</f>
        <v>OK</v>
      </c>
    </row>
    <row r="183" spans="1:12" x14ac:dyDescent="0.25">
      <c r="A183" s="15" t="s">
        <v>415</v>
      </c>
      <c r="B183" s="16" t="s">
        <v>403</v>
      </c>
      <c r="C183" s="16" t="s">
        <v>607</v>
      </c>
      <c r="D183" s="16" t="s">
        <v>386</v>
      </c>
      <c r="E183" s="16" t="s">
        <v>372</v>
      </c>
      <c r="F183" s="16" t="s">
        <v>405</v>
      </c>
      <c r="G183" s="29">
        <v>7599</v>
      </c>
      <c r="H183" s="20">
        <v>5.57</v>
      </c>
      <c r="I183" s="22">
        <v>46435</v>
      </c>
      <c r="J183" s="24">
        <f>Estoque[[#This Row],[Qtd Estoque]]*Estoque[[#This Row],[Valor Unitário]]</f>
        <v>42326.43</v>
      </c>
      <c r="K183" s="34">
        <f ca="1">Estoque[[#This Row],[Validade]]-TODAY()</f>
        <v>325</v>
      </c>
      <c r="L183" s="17" t="str">
        <f ca="1">IF(Estoque[[#This Row],[Dias para Vencer]]&lt;0,"Vencido",IF(Estoque[[#This Row],[Dias para Vencer]] &lt;=30, "Risco de Vencimento","OK"))</f>
        <v>OK</v>
      </c>
    </row>
    <row r="184" spans="1:12" x14ac:dyDescent="0.25">
      <c r="A184" s="15" t="s">
        <v>393</v>
      </c>
      <c r="B184" s="16" t="s">
        <v>418</v>
      </c>
      <c r="C184" s="16" t="s">
        <v>608</v>
      </c>
      <c r="D184" s="16" t="s">
        <v>386</v>
      </c>
      <c r="E184" s="16" t="s">
        <v>371</v>
      </c>
      <c r="F184" s="16" t="s">
        <v>396</v>
      </c>
      <c r="G184" s="29">
        <v>4117</v>
      </c>
      <c r="H184" s="20">
        <v>3.68</v>
      </c>
      <c r="I184" s="22">
        <v>46174</v>
      </c>
      <c r="J184" s="24">
        <f>Estoque[[#This Row],[Qtd Estoque]]*Estoque[[#This Row],[Valor Unitário]]</f>
        <v>15150.560000000001</v>
      </c>
      <c r="K184" s="34">
        <f ca="1">Estoque[[#This Row],[Validade]]-TODAY()</f>
        <v>64</v>
      </c>
      <c r="L184" s="17" t="str">
        <f ca="1">IF(Estoque[[#This Row],[Dias para Vencer]]&lt;0,"Vencido",IF(Estoque[[#This Row],[Dias para Vencer]] &lt;=30, "Risco de Vencimento","OK"))</f>
        <v>OK</v>
      </c>
    </row>
    <row r="185" spans="1:12" x14ac:dyDescent="0.25">
      <c r="A185" s="15" t="s">
        <v>425</v>
      </c>
      <c r="B185" s="16" t="s">
        <v>401</v>
      </c>
      <c r="C185" s="16" t="s">
        <v>609</v>
      </c>
      <c r="D185" s="16" t="s">
        <v>391</v>
      </c>
      <c r="E185" s="16" t="s">
        <v>370</v>
      </c>
      <c r="F185" s="16" t="s">
        <v>392</v>
      </c>
      <c r="G185" s="29">
        <v>5317</v>
      </c>
      <c r="H185" s="20">
        <v>2.78</v>
      </c>
      <c r="I185" s="22">
        <v>46331</v>
      </c>
      <c r="J185" s="24">
        <f>Estoque[[#This Row],[Qtd Estoque]]*Estoque[[#This Row],[Valor Unitário]]</f>
        <v>14781.259999999998</v>
      </c>
      <c r="K185" s="34">
        <f ca="1">Estoque[[#This Row],[Validade]]-TODAY()</f>
        <v>221</v>
      </c>
      <c r="L185" s="17" t="str">
        <f ca="1">IF(Estoque[[#This Row],[Dias para Vencer]]&lt;0,"Vencido",IF(Estoque[[#This Row],[Dias para Vencer]] &lt;=30, "Risco de Vencimento","OK"))</f>
        <v>OK</v>
      </c>
    </row>
    <row r="186" spans="1:12" x14ac:dyDescent="0.25">
      <c r="A186" s="15" t="s">
        <v>406</v>
      </c>
      <c r="B186" s="16" t="s">
        <v>389</v>
      </c>
      <c r="C186" s="16" t="s">
        <v>610</v>
      </c>
      <c r="D186" s="16" t="s">
        <v>391</v>
      </c>
      <c r="E186" s="16" t="s">
        <v>369</v>
      </c>
      <c r="F186" s="16" t="s">
        <v>427</v>
      </c>
      <c r="G186" s="29">
        <v>7012</v>
      </c>
      <c r="H186" s="20">
        <v>4.33</v>
      </c>
      <c r="I186" s="22">
        <v>45584</v>
      </c>
      <c r="J186" s="24">
        <f>Estoque[[#This Row],[Qtd Estoque]]*Estoque[[#This Row],[Valor Unitário]]</f>
        <v>30361.96</v>
      </c>
      <c r="K186" s="34">
        <f ca="1">Estoque[[#This Row],[Validade]]-TODAY()</f>
        <v>-526</v>
      </c>
      <c r="L186" s="17" t="str">
        <f ca="1">IF(Estoque[[#This Row],[Dias para Vencer]]&lt;0,"Vencido",IF(Estoque[[#This Row],[Dias para Vencer]] &lt;=30, "Risco de Vencimento","OK"))</f>
        <v>Vencido</v>
      </c>
    </row>
    <row r="187" spans="1:12" x14ac:dyDescent="0.25">
      <c r="A187" s="15" t="s">
        <v>383</v>
      </c>
      <c r="B187" s="16" t="s">
        <v>394</v>
      </c>
      <c r="C187" s="16" t="s">
        <v>611</v>
      </c>
      <c r="D187" s="16" t="s">
        <v>391</v>
      </c>
      <c r="E187" s="16" t="s">
        <v>370</v>
      </c>
      <c r="F187" s="16" t="s">
        <v>392</v>
      </c>
      <c r="G187" s="29">
        <v>3297</v>
      </c>
      <c r="H187" s="20">
        <v>3.86</v>
      </c>
      <c r="I187" s="22">
        <v>46536</v>
      </c>
      <c r="J187" s="24">
        <f>Estoque[[#This Row],[Qtd Estoque]]*Estoque[[#This Row],[Valor Unitário]]</f>
        <v>12726.42</v>
      </c>
      <c r="K187" s="34">
        <f ca="1">Estoque[[#This Row],[Validade]]-TODAY()</f>
        <v>426</v>
      </c>
      <c r="L187" s="17" t="str">
        <f ca="1">IF(Estoque[[#This Row],[Dias para Vencer]]&lt;0,"Vencido",IF(Estoque[[#This Row],[Dias para Vencer]] &lt;=30, "Risco de Vencimento","OK"))</f>
        <v>OK</v>
      </c>
    </row>
    <row r="188" spans="1:12" x14ac:dyDescent="0.25">
      <c r="A188" s="15" t="s">
        <v>442</v>
      </c>
      <c r="B188" s="16" t="s">
        <v>403</v>
      </c>
      <c r="C188" s="16" t="s">
        <v>612</v>
      </c>
      <c r="D188" s="16" t="s">
        <v>391</v>
      </c>
      <c r="E188" s="16" t="s">
        <v>370</v>
      </c>
      <c r="F188" s="16" t="s">
        <v>392</v>
      </c>
      <c r="G188" s="29">
        <v>5143</v>
      </c>
      <c r="H188" s="20">
        <v>3.85</v>
      </c>
      <c r="I188" s="22">
        <v>45998</v>
      </c>
      <c r="J188" s="24">
        <f>Estoque[[#This Row],[Qtd Estoque]]*Estoque[[#This Row],[Valor Unitário]]</f>
        <v>19800.55</v>
      </c>
      <c r="K188" s="34">
        <f ca="1">Estoque[[#This Row],[Validade]]-TODAY()</f>
        <v>-112</v>
      </c>
      <c r="L188" s="17" t="str">
        <f ca="1">IF(Estoque[[#This Row],[Dias para Vencer]]&lt;0,"Vencido",IF(Estoque[[#This Row],[Dias para Vencer]] &lt;=30, "Risco de Vencimento","OK"))</f>
        <v>Vencido</v>
      </c>
    </row>
    <row r="189" spans="1:12" x14ac:dyDescent="0.25">
      <c r="A189" s="15" t="s">
        <v>473</v>
      </c>
      <c r="B189" s="16" t="s">
        <v>394</v>
      </c>
      <c r="C189" s="16" t="s">
        <v>613</v>
      </c>
      <c r="D189" s="16" t="s">
        <v>399</v>
      </c>
      <c r="E189" s="16" t="s">
        <v>366</v>
      </c>
      <c r="F189" s="16" t="s">
        <v>417</v>
      </c>
      <c r="G189" s="29">
        <v>2136</v>
      </c>
      <c r="H189" s="20">
        <v>4.8099999999999996</v>
      </c>
      <c r="I189" s="22">
        <v>45620</v>
      </c>
      <c r="J189" s="24">
        <f>Estoque[[#This Row],[Qtd Estoque]]*Estoque[[#This Row],[Valor Unitário]]</f>
        <v>10274.16</v>
      </c>
      <c r="K189" s="34">
        <f ca="1">Estoque[[#This Row],[Validade]]-TODAY()</f>
        <v>-490</v>
      </c>
      <c r="L189" s="17" t="str">
        <f ca="1">IF(Estoque[[#This Row],[Dias para Vencer]]&lt;0,"Vencido",IF(Estoque[[#This Row],[Dias para Vencer]] &lt;=30, "Risco de Vencimento","OK"))</f>
        <v>Vencido</v>
      </c>
    </row>
    <row r="190" spans="1:12" x14ac:dyDescent="0.25">
      <c r="A190" s="15" t="s">
        <v>388</v>
      </c>
      <c r="B190" s="16" t="s">
        <v>418</v>
      </c>
      <c r="C190" s="16" t="s">
        <v>614</v>
      </c>
      <c r="D190" s="16" t="s">
        <v>386</v>
      </c>
      <c r="E190" s="16" t="s">
        <v>372</v>
      </c>
      <c r="F190" s="16" t="s">
        <v>405</v>
      </c>
      <c r="G190" s="29">
        <v>8191</v>
      </c>
      <c r="H190" s="20">
        <v>2.76</v>
      </c>
      <c r="I190" s="22">
        <v>45305</v>
      </c>
      <c r="J190" s="24">
        <f>Estoque[[#This Row],[Qtd Estoque]]*Estoque[[#This Row],[Valor Unitário]]</f>
        <v>22607.16</v>
      </c>
      <c r="K190" s="34">
        <f ca="1">Estoque[[#This Row],[Validade]]-TODAY()</f>
        <v>-805</v>
      </c>
      <c r="L190" s="17" t="str">
        <f ca="1">IF(Estoque[[#This Row],[Dias para Vencer]]&lt;0,"Vencido",IF(Estoque[[#This Row],[Dias para Vencer]] &lt;=30, "Risco de Vencimento","OK"))</f>
        <v>Vencido</v>
      </c>
    </row>
    <row r="191" spans="1:12" x14ac:dyDescent="0.25">
      <c r="A191" s="15" t="s">
        <v>437</v>
      </c>
      <c r="B191" s="16" t="s">
        <v>401</v>
      </c>
      <c r="C191" s="16" t="s">
        <v>615</v>
      </c>
      <c r="D191" s="16" t="s">
        <v>435</v>
      </c>
      <c r="E191" s="16" t="s">
        <v>368</v>
      </c>
      <c r="F191" s="16" t="s">
        <v>463</v>
      </c>
      <c r="G191" s="29">
        <v>4529</v>
      </c>
      <c r="H191" s="20">
        <v>4.83</v>
      </c>
      <c r="I191" s="22">
        <v>45581</v>
      </c>
      <c r="J191" s="24">
        <f>Estoque[[#This Row],[Qtd Estoque]]*Estoque[[#This Row],[Valor Unitário]]</f>
        <v>21875.07</v>
      </c>
      <c r="K191" s="34">
        <f ca="1">Estoque[[#This Row],[Validade]]-TODAY()</f>
        <v>-529</v>
      </c>
      <c r="L191" s="17" t="str">
        <f ca="1">IF(Estoque[[#This Row],[Dias para Vencer]]&lt;0,"Vencido",IF(Estoque[[#This Row],[Dias para Vencer]] &lt;=30, "Risco de Vencimento","OK"))</f>
        <v>Vencido</v>
      </c>
    </row>
    <row r="192" spans="1:12" x14ac:dyDescent="0.25">
      <c r="A192" s="15" t="s">
        <v>383</v>
      </c>
      <c r="B192" s="16" t="s">
        <v>418</v>
      </c>
      <c r="C192" s="16" t="s">
        <v>616</v>
      </c>
      <c r="D192" s="16" t="s">
        <v>391</v>
      </c>
      <c r="E192" s="16" t="s">
        <v>369</v>
      </c>
      <c r="F192" s="16" t="s">
        <v>427</v>
      </c>
      <c r="G192" s="29">
        <v>3553</v>
      </c>
      <c r="H192" s="20">
        <v>1.52</v>
      </c>
      <c r="I192" s="22">
        <v>45549</v>
      </c>
      <c r="J192" s="24">
        <f>Estoque[[#This Row],[Qtd Estoque]]*Estoque[[#This Row],[Valor Unitário]]</f>
        <v>5400.56</v>
      </c>
      <c r="K192" s="34">
        <f ca="1">Estoque[[#This Row],[Validade]]-TODAY()</f>
        <v>-561</v>
      </c>
      <c r="L192" s="17" t="str">
        <f ca="1">IF(Estoque[[#This Row],[Dias para Vencer]]&lt;0,"Vencido",IF(Estoque[[#This Row],[Dias para Vencer]] &lt;=30, "Risco de Vencimento","OK"))</f>
        <v>Vencido</v>
      </c>
    </row>
    <row r="193" spans="1:12" x14ac:dyDescent="0.25">
      <c r="A193" s="15" t="s">
        <v>437</v>
      </c>
      <c r="B193" s="16" t="s">
        <v>394</v>
      </c>
      <c r="C193" s="16" t="s">
        <v>617</v>
      </c>
      <c r="D193" s="16" t="s">
        <v>391</v>
      </c>
      <c r="E193" s="16" t="s">
        <v>370</v>
      </c>
      <c r="F193" s="16" t="s">
        <v>392</v>
      </c>
      <c r="G193" s="29">
        <v>3360</v>
      </c>
      <c r="H193" s="20">
        <v>7.11</v>
      </c>
      <c r="I193" s="22">
        <v>46591</v>
      </c>
      <c r="J193" s="24">
        <f>Estoque[[#This Row],[Qtd Estoque]]*Estoque[[#This Row],[Valor Unitário]]</f>
        <v>23889.600000000002</v>
      </c>
      <c r="K193" s="34">
        <f ca="1">Estoque[[#This Row],[Validade]]-TODAY()</f>
        <v>481</v>
      </c>
      <c r="L193" s="17" t="str">
        <f ca="1">IF(Estoque[[#This Row],[Dias para Vencer]]&lt;0,"Vencido",IF(Estoque[[#This Row],[Dias para Vencer]] &lt;=30, "Risco de Vencimento","OK"))</f>
        <v>OK</v>
      </c>
    </row>
    <row r="194" spans="1:12" x14ac:dyDescent="0.25">
      <c r="A194" s="15" t="s">
        <v>397</v>
      </c>
      <c r="B194" s="16" t="s">
        <v>403</v>
      </c>
      <c r="C194" s="16" t="s">
        <v>618</v>
      </c>
      <c r="D194" s="16" t="s">
        <v>399</v>
      </c>
      <c r="E194" s="16" t="s">
        <v>365</v>
      </c>
      <c r="F194" s="16" t="s">
        <v>414</v>
      </c>
      <c r="G194" s="29">
        <v>5329</v>
      </c>
      <c r="H194" s="20">
        <v>8.98</v>
      </c>
      <c r="I194" s="22">
        <v>46702</v>
      </c>
      <c r="J194" s="24">
        <f>Estoque[[#This Row],[Qtd Estoque]]*Estoque[[#This Row],[Valor Unitário]]</f>
        <v>47854.420000000006</v>
      </c>
      <c r="K194" s="34">
        <f ca="1">Estoque[[#This Row],[Validade]]-TODAY()</f>
        <v>592</v>
      </c>
      <c r="L194" s="17" t="str">
        <f ca="1">IF(Estoque[[#This Row],[Dias para Vencer]]&lt;0,"Vencido",IF(Estoque[[#This Row],[Dias para Vencer]] &lt;=30, "Risco de Vencimento","OK"))</f>
        <v>OK</v>
      </c>
    </row>
    <row r="195" spans="1:12" x14ac:dyDescent="0.25">
      <c r="A195" s="15" t="s">
        <v>388</v>
      </c>
      <c r="B195" s="16" t="s">
        <v>389</v>
      </c>
      <c r="C195" s="16" t="s">
        <v>619</v>
      </c>
      <c r="D195" s="16" t="s">
        <v>399</v>
      </c>
      <c r="E195" s="16" t="s">
        <v>363</v>
      </c>
      <c r="F195" s="16" t="s">
        <v>400</v>
      </c>
      <c r="G195" s="29">
        <v>8310</v>
      </c>
      <c r="H195" s="20">
        <v>9.24</v>
      </c>
      <c r="I195" s="22">
        <v>45435</v>
      </c>
      <c r="J195" s="24">
        <f>Estoque[[#This Row],[Qtd Estoque]]*Estoque[[#This Row],[Valor Unitário]]</f>
        <v>76784.400000000009</v>
      </c>
      <c r="K195" s="34">
        <f ca="1">Estoque[[#This Row],[Validade]]-TODAY()</f>
        <v>-675</v>
      </c>
      <c r="L195" s="17" t="str">
        <f ca="1">IF(Estoque[[#This Row],[Dias para Vencer]]&lt;0,"Vencido",IF(Estoque[[#This Row],[Dias para Vencer]] &lt;=30, "Risco de Vencimento","OK"))</f>
        <v>Vencido</v>
      </c>
    </row>
    <row r="196" spans="1:12" x14ac:dyDescent="0.25">
      <c r="A196" s="15" t="s">
        <v>442</v>
      </c>
      <c r="B196" s="16" t="s">
        <v>453</v>
      </c>
      <c r="C196" s="16" t="s">
        <v>620</v>
      </c>
      <c r="D196" s="16" t="s">
        <v>399</v>
      </c>
      <c r="E196" s="16" t="s">
        <v>365</v>
      </c>
      <c r="F196" s="16" t="s">
        <v>414</v>
      </c>
      <c r="G196" s="29">
        <v>3166</v>
      </c>
      <c r="H196" s="20">
        <v>6.76</v>
      </c>
      <c r="I196" s="22">
        <v>46012</v>
      </c>
      <c r="J196" s="24">
        <f>Estoque[[#This Row],[Qtd Estoque]]*Estoque[[#This Row],[Valor Unitário]]</f>
        <v>21402.16</v>
      </c>
      <c r="K196" s="34">
        <f ca="1">Estoque[[#This Row],[Validade]]-TODAY()</f>
        <v>-98</v>
      </c>
      <c r="L196" s="17" t="str">
        <f ca="1">IF(Estoque[[#This Row],[Dias para Vencer]]&lt;0,"Vencido",IF(Estoque[[#This Row],[Dias para Vencer]] &lt;=30, "Risco de Vencimento","OK"))</f>
        <v>Vencido</v>
      </c>
    </row>
    <row r="197" spans="1:12" x14ac:dyDescent="0.25">
      <c r="A197" s="15" t="s">
        <v>383</v>
      </c>
      <c r="B197" s="16" t="s">
        <v>394</v>
      </c>
      <c r="C197" s="16" t="s">
        <v>621</v>
      </c>
      <c r="D197" s="16" t="s">
        <v>391</v>
      </c>
      <c r="E197" s="16" t="s">
        <v>370</v>
      </c>
      <c r="F197" s="16" t="s">
        <v>392</v>
      </c>
      <c r="G197" s="29">
        <v>6237</v>
      </c>
      <c r="H197" s="20">
        <v>3.86</v>
      </c>
      <c r="I197" s="22">
        <v>46299</v>
      </c>
      <c r="J197" s="24">
        <f>Estoque[[#This Row],[Qtd Estoque]]*Estoque[[#This Row],[Valor Unitário]]</f>
        <v>24074.82</v>
      </c>
      <c r="K197" s="34">
        <f ca="1">Estoque[[#This Row],[Validade]]-TODAY()</f>
        <v>189</v>
      </c>
      <c r="L197" s="17" t="str">
        <f ca="1">IF(Estoque[[#This Row],[Dias para Vencer]]&lt;0,"Vencido",IF(Estoque[[#This Row],[Dias para Vencer]] &lt;=30, "Risco de Vencimento","OK"))</f>
        <v>OK</v>
      </c>
    </row>
    <row r="198" spans="1:12" x14ac:dyDescent="0.25">
      <c r="A198" s="15" t="s">
        <v>397</v>
      </c>
      <c r="B198" s="16" t="s">
        <v>453</v>
      </c>
      <c r="C198" s="16" t="s">
        <v>622</v>
      </c>
      <c r="D198" s="16" t="s">
        <v>386</v>
      </c>
      <c r="E198" s="16" t="s">
        <v>371</v>
      </c>
      <c r="F198" s="16" t="s">
        <v>396</v>
      </c>
      <c r="G198" s="29">
        <v>9963</v>
      </c>
      <c r="H198" s="20">
        <v>7.45</v>
      </c>
      <c r="I198" s="22">
        <v>45413</v>
      </c>
      <c r="J198" s="24">
        <f>Estoque[[#This Row],[Qtd Estoque]]*Estoque[[#This Row],[Valor Unitário]]</f>
        <v>74224.350000000006</v>
      </c>
      <c r="K198" s="34">
        <f ca="1">Estoque[[#This Row],[Validade]]-TODAY()</f>
        <v>-697</v>
      </c>
      <c r="L198" s="17" t="str">
        <f ca="1">IF(Estoque[[#This Row],[Dias para Vencer]]&lt;0,"Vencido",IF(Estoque[[#This Row],[Dias para Vencer]] &lt;=30, "Risco de Vencimento","OK"))</f>
        <v>Vencido</v>
      </c>
    </row>
    <row r="199" spans="1:12" x14ac:dyDescent="0.25">
      <c r="A199" s="15" t="s">
        <v>423</v>
      </c>
      <c r="B199" s="16" t="s">
        <v>389</v>
      </c>
      <c r="C199" s="16" t="s">
        <v>623</v>
      </c>
      <c r="D199" s="16" t="s">
        <v>435</v>
      </c>
      <c r="E199" s="16" t="s">
        <v>367</v>
      </c>
      <c r="F199" s="16" t="s">
        <v>436</v>
      </c>
      <c r="G199" s="29">
        <v>7440</v>
      </c>
      <c r="H199" s="20">
        <v>1.65</v>
      </c>
      <c r="I199" s="22">
        <v>45712</v>
      </c>
      <c r="J199" s="24">
        <f>Estoque[[#This Row],[Qtd Estoque]]*Estoque[[#This Row],[Valor Unitário]]</f>
        <v>12276</v>
      </c>
      <c r="K199" s="34">
        <f ca="1">Estoque[[#This Row],[Validade]]-TODAY()</f>
        <v>-398</v>
      </c>
      <c r="L199" s="17" t="str">
        <f ca="1">IF(Estoque[[#This Row],[Dias para Vencer]]&lt;0,"Vencido",IF(Estoque[[#This Row],[Dias para Vencer]] &lt;=30, "Risco de Vencimento","OK"))</f>
        <v>Vencido</v>
      </c>
    </row>
    <row r="200" spans="1:12" x14ac:dyDescent="0.25">
      <c r="A200" s="15" t="s">
        <v>406</v>
      </c>
      <c r="B200" s="16" t="s">
        <v>401</v>
      </c>
      <c r="C200" s="16" t="s">
        <v>624</v>
      </c>
      <c r="D200" s="16" t="s">
        <v>435</v>
      </c>
      <c r="E200" s="16" t="s">
        <v>367</v>
      </c>
      <c r="F200" s="16" t="s">
        <v>436</v>
      </c>
      <c r="G200" s="29">
        <v>2945</v>
      </c>
      <c r="H200" s="20">
        <v>9.24</v>
      </c>
      <c r="I200" s="22">
        <v>46723</v>
      </c>
      <c r="J200" s="24">
        <f>Estoque[[#This Row],[Qtd Estoque]]*Estoque[[#This Row],[Valor Unitário]]</f>
        <v>27211.8</v>
      </c>
      <c r="K200" s="34">
        <f ca="1">Estoque[[#This Row],[Validade]]-TODAY()</f>
        <v>613</v>
      </c>
      <c r="L200" s="17" t="str">
        <f ca="1">IF(Estoque[[#This Row],[Dias para Vencer]]&lt;0,"Vencido",IF(Estoque[[#This Row],[Dias para Vencer]] &lt;=30, "Risco de Vencimento","OK"))</f>
        <v>OK</v>
      </c>
    </row>
    <row r="201" spans="1:12" x14ac:dyDescent="0.25">
      <c r="A201" s="15" t="s">
        <v>431</v>
      </c>
      <c r="B201" s="16" t="s">
        <v>418</v>
      </c>
      <c r="C201" s="16" t="s">
        <v>625</v>
      </c>
      <c r="D201" s="16" t="s">
        <v>391</v>
      </c>
      <c r="E201" s="16" t="s">
        <v>370</v>
      </c>
      <c r="F201" s="16" t="s">
        <v>392</v>
      </c>
      <c r="G201" s="29">
        <v>8058</v>
      </c>
      <c r="H201" s="20">
        <v>5.32</v>
      </c>
      <c r="I201" s="22">
        <v>45930</v>
      </c>
      <c r="J201" s="24">
        <f>Estoque[[#This Row],[Qtd Estoque]]*Estoque[[#This Row],[Valor Unitário]]</f>
        <v>42868.560000000005</v>
      </c>
      <c r="K201" s="34">
        <f ca="1">Estoque[[#This Row],[Validade]]-TODAY()</f>
        <v>-180</v>
      </c>
      <c r="L201" s="17" t="str">
        <f ca="1">IF(Estoque[[#This Row],[Dias para Vencer]]&lt;0,"Vencido",IF(Estoque[[#This Row],[Dias para Vencer]] &lt;=30, "Risco de Vencimento","OK"))</f>
        <v>Vencido</v>
      </c>
    </row>
    <row r="202" spans="1:12" x14ac:dyDescent="0.25">
      <c r="A202" s="15" t="s">
        <v>464</v>
      </c>
      <c r="B202" s="16" t="s">
        <v>389</v>
      </c>
      <c r="C202" s="16" t="s">
        <v>626</v>
      </c>
      <c r="D202" s="16" t="s">
        <v>399</v>
      </c>
      <c r="E202" s="16" t="s">
        <v>363</v>
      </c>
      <c r="F202" s="16" t="s">
        <v>400</v>
      </c>
      <c r="G202" s="29">
        <v>1818</v>
      </c>
      <c r="H202" s="20">
        <v>8.4600000000000009</v>
      </c>
      <c r="I202" s="22">
        <v>45813</v>
      </c>
      <c r="J202" s="24">
        <f>Estoque[[#This Row],[Qtd Estoque]]*Estoque[[#This Row],[Valor Unitário]]</f>
        <v>15380.28</v>
      </c>
      <c r="K202" s="34">
        <f ca="1">Estoque[[#This Row],[Validade]]-TODAY()</f>
        <v>-297</v>
      </c>
      <c r="L202" s="17" t="str">
        <f ca="1">IF(Estoque[[#This Row],[Dias para Vencer]]&lt;0,"Vencido",IF(Estoque[[#This Row],[Dias para Vencer]] &lt;=30, "Risco de Vencimento","OK"))</f>
        <v>Vencido</v>
      </c>
    </row>
    <row r="203" spans="1:12" x14ac:dyDescent="0.25">
      <c r="A203" s="15" t="s">
        <v>440</v>
      </c>
      <c r="B203" s="16" t="s">
        <v>418</v>
      </c>
      <c r="C203" s="16" t="s">
        <v>627</v>
      </c>
      <c r="D203" s="16" t="s">
        <v>435</v>
      </c>
      <c r="E203" s="16" t="s">
        <v>368</v>
      </c>
      <c r="F203" s="16" t="s">
        <v>463</v>
      </c>
      <c r="G203" s="29">
        <v>1480</v>
      </c>
      <c r="H203" s="20">
        <v>7.16</v>
      </c>
      <c r="I203" s="22">
        <v>45666</v>
      </c>
      <c r="J203" s="24">
        <f>Estoque[[#This Row],[Qtd Estoque]]*Estoque[[#This Row],[Valor Unitário]]</f>
        <v>10596.800000000001</v>
      </c>
      <c r="K203" s="34">
        <f ca="1">Estoque[[#This Row],[Validade]]-TODAY()</f>
        <v>-444</v>
      </c>
      <c r="L203" s="17" t="str">
        <f ca="1">IF(Estoque[[#This Row],[Dias para Vencer]]&lt;0,"Vencido",IF(Estoque[[#This Row],[Dias para Vencer]] &lt;=30, "Risco de Vencimento","OK"))</f>
        <v>Vencido</v>
      </c>
    </row>
    <row r="204" spans="1:12" x14ac:dyDescent="0.25">
      <c r="A204" s="15" t="s">
        <v>393</v>
      </c>
      <c r="B204" s="16" t="s">
        <v>418</v>
      </c>
      <c r="C204" s="16" t="s">
        <v>628</v>
      </c>
      <c r="D204" s="16" t="s">
        <v>386</v>
      </c>
      <c r="E204" s="16" t="s">
        <v>371</v>
      </c>
      <c r="F204" s="16" t="s">
        <v>396</v>
      </c>
      <c r="G204" s="29">
        <v>3196</v>
      </c>
      <c r="H204" s="20">
        <v>3.68</v>
      </c>
      <c r="I204" s="22">
        <v>46722</v>
      </c>
      <c r="J204" s="24">
        <f>Estoque[[#This Row],[Qtd Estoque]]*Estoque[[#This Row],[Valor Unitário]]</f>
        <v>11761.28</v>
      </c>
      <c r="K204" s="34">
        <f ca="1">Estoque[[#This Row],[Validade]]-TODAY()</f>
        <v>612</v>
      </c>
      <c r="L204" s="17" t="str">
        <f ca="1">IF(Estoque[[#This Row],[Dias para Vencer]]&lt;0,"Vencido",IF(Estoque[[#This Row],[Dias para Vencer]] &lt;=30, "Risco de Vencimento","OK"))</f>
        <v>OK</v>
      </c>
    </row>
    <row r="205" spans="1:12" x14ac:dyDescent="0.25">
      <c r="A205" s="15" t="s">
        <v>406</v>
      </c>
      <c r="B205" s="16" t="s">
        <v>418</v>
      </c>
      <c r="C205" s="16" t="s">
        <v>629</v>
      </c>
      <c r="D205" s="16" t="s">
        <v>386</v>
      </c>
      <c r="E205" s="16" t="s">
        <v>372</v>
      </c>
      <c r="F205" s="16" t="s">
        <v>405</v>
      </c>
      <c r="G205" s="29">
        <v>5166</v>
      </c>
      <c r="H205" s="20">
        <v>1.89</v>
      </c>
      <c r="I205" s="22">
        <v>45703</v>
      </c>
      <c r="J205" s="24">
        <f>Estoque[[#This Row],[Qtd Estoque]]*Estoque[[#This Row],[Valor Unitário]]</f>
        <v>9763.74</v>
      </c>
      <c r="K205" s="34">
        <f ca="1">Estoque[[#This Row],[Validade]]-TODAY()</f>
        <v>-407</v>
      </c>
      <c r="L205" s="17" t="str">
        <f ca="1">IF(Estoque[[#This Row],[Dias para Vencer]]&lt;0,"Vencido",IF(Estoque[[#This Row],[Dias para Vencer]] &lt;=30, "Risco de Vencimento","OK"))</f>
        <v>Vencido</v>
      </c>
    </row>
    <row r="206" spans="1:12" x14ac:dyDescent="0.25">
      <c r="A206" s="15" t="s">
        <v>421</v>
      </c>
      <c r="B206" s="16" t="s">
        <v>401</v>
      </c>
      <c r="C206" s="16" t="s">
        <v>630</v>
      </c>
      <c r="D206" s="16" t="s">
        <v>391</v>
      </c>
      <c r="E206" s="16" t="s">
        <v>369</v>
      </c>
      <c r="F206" s="16" t="s">
        <v>427</v>
      </c>
      <c r="G206" s="29">
        <v>8560</v>
      </c>
      <c r="H206" s="20">
        <v>3.26</v>
      </c>
      <c r="I206" s="22">
        <v>45699</v>
      </c>
      <c r="J206" s="24">
        <f>Estoque[[#This Row],[Qtd Estoque]]*Estoque[[#This Row],[Valor Unitário]]</f>
        <v>27905.599999999999</v>
      </c>
      <c r="K206" s="34">
        <f ca="1">Estoque[[#This Row],[Validade]]-TODAY()</f>
        <v>-411</v>
      </c>
      <c r="L206" s="17" t="str">
        <f ca="1">IF(Estoque[[#This Row],[Dias para Vencer]]&lt;0,"Vencido",IF(Estoque[[#This Row],[Dias para Vencer]] &lt;=30, "Risco de Vencimento","OK"))</f>
        <v>Vencido</v>
      </c>
    </row>
    <row r="207" spans="1:12" x14ac:dyDescent="0.25">
      <c r="A207" s="15" t="s">
        <v>442</v>
      </c>
      <c r="B207" s="16" t="s">
        <v>401</v>
      </c>
      <c r="C207" s="16" t="s">
        <v>631</v>
      </c>
      <c r="D207" s="16" t="s">
        <v>386</v>
      </c>
      <c r="E207" s="16" t="s">
        <v>372</v>
      </c>
      <c r="F207" s="16" t="s">
        <v>405</v>
      </c>
      <c r="G207" s="29">
        <v>3587</v>
      </c>
      <c r="H207" s="20">
        <v>4.1500000000000004</v>
      </c>
      <c r="I207" s="22">
        <v>45476</v>
      </c>
      <c r="J207" s="24">
        <f>Estoque[[#This Row],[Qtd Estoque]]*Estoque[[#This Row],[Valor Unitário]]</f>
        <v>14886.050000000001</v>
      </c>
      <c r="K207" s="34">
        <f ca="1">Estoque[[#This Row],[Validade]]-TODAY()</f>
        <v>-634</v>
      </c>
      <c r="L207" s="17" t="str">
        <f ca="1">IF(Estoque[[#This Row],[Dias para Vencer]]&lt;0,"Vencido",IF(Estoque[[#This Row],[Dias para Vencer]] &lt;=30, "Risco de Vencimento","OK"))</f>
        <v>Vencido</v>
      </c>
    </row>
    <row r="208" spans="1:12" x14ac:dyDescent="0.25">
      <c r="A208" s="15" t="s">
        <v>383</v>
      </c>
      <c r="B208" s="16" t="s">
        <v>411</v>
      </c>
      <c r="C208" s="16" t="s">
        <v>632</v>
      </c>
      <c r="D208" s="16" t="s">
        <v>386</v>
      </c>
      <c r="E208" s="16" t="s">
        <v>371</v>
      </c>
      <c r="F208" s="16" t="s">
        <v>396</v>
      </c>
      <c r="G208" s="29">
        <v>4642</v>
      </c>
      <c r="H208" s="20">
        <v>6.77</v>
      </c>
      <c r="I208" s="22">
        <v>45294</v>
      </c>
      <c r="J208" s="24">
        <f>Estoque[[#This Row],[Qtd Estoque]]*Estoque[[#This Row],[Valor Unitário]]</f>
        <v>31426.339999999997</v>
      </c>
      <c r="K208" s="34">
        <f ca="1">Estoque[[#This Row],[Validade]]-TODAY()</f>
        <v>-816</v>
      </c>
      <c r="L208" s="17" t="str">
        <f ca="1">IF(Estoque[[#This Row],[Dias para Vencer]]&lt;0,"Vencido",IF(Estoque[[#This Row],[Dias para Vencer]] &lt;=30, "Risco de Vencimento","OK"))</f>
        <v>Vencido</v>
      </c>
    </row>
    <row r="209" spans="1:12" x14ac:dyDescent="0.25">
      <c r="A209" s="15" t="s">
        <v>393</v>
      </c>
      <c r="B209" s="16" t="s">
        <v>453</v>
      </c>
      <c r="C209" s="16" t="s">
        <v>633</v>
      </c>
      <c r="D209" s="16" t="s">
        <v>399</v>
      </c>
      <c r="E209" s="16" t="s">
        <v>365</v>
      </c>
      <c r="F209" s="16" t="s">
        <v>414</v>
      </c>
      <c r="G209" s="29">
        <v>8070</v>
      </c>
      <c r="H209" s="20">
        <v>7.14</v>
      </c>
      <c r="I209" s="22">
        <v>46364</v>
      </c>
      <c r="J209" s="24">
        <f>Estoque[[#This Row],[Qtd Estoque]]*Estoque[[#This Row],[Valor Unitário]]</f>
        <v>57619.799999999996</v>
      </c>
      <c r="K209" s="34">
        <f ca="1">Estoque[[#This Row],[Validade]]-TODAY()</f>
        <v>254</v>
      </c>
      <c r="L209" s="17" t="str">
        <f ca="1">IF(Estoque[[#This Row],[Dias para Vencer]]&lt;0,"Vencido",IF(Estoque[[#This Row],[Dias para Vencer]] &lt;=30, "Risco de Vencimento","OK"))</f>
        <v>OK</v>
      </c>
    </row>
    <row r="210" spans="1:12" x14ac:dyDescent="0.25">
      <c r="A210" s="15" t="s">
        <v>473</v>
      </c>
      <c r="B210" s="16" t="s">
        <v>403</v>
      </c>
      <c r="C210" s="16" t="s">
        <v>634</v>
      </c>
      <c r="D210" s="16" t="s">
        <v>435</v>
      </c>
      <c r="E210" s="16" t="s">
        <v>367</v>
      </c>
      <c r="F210" s="16" t="s">
        <v>436</v>
      </c>
      <c r="G210" s="29">
        <v>7108</v>
      </c>
      <c r="H210" s="20">
        <v>8.32</v>
      </c>
      <c r="I210" s="22">
        <v>46512</v>
      </c>
      <c r="J210" s="24">
        <f>Estoque[[#This Row],[Qtd Estoque]]*Estoque[[#This Row],[Valor Unitário]]</f>
        <v>59138.560000000005</v>
      </c>
      <c r="K210" s="34">
        <f ca="1">Estoque[[#This Row],[Validade]]-TODAY()</f>
        <v>402</v>
      </c>
      <c r="L210" s="17" t="str">
        <f ca="1">IF(Estoque[[#This Row],[Dias para Vencer]]&lt;0,"Vencido",IF(Estoque[[#This Row],[Dias para Vencer]] &lt;=30, "Risco de Vencimento","OK"))</f>
        <v>OK</v>
      </c>
    </row>
    <row r="211" spans="1:12" x14ac:dyDescent="0.25">
      <c r="A211" s="15" t="s">
        <v>393</v>
      </c>
      <c r="B211" s="16" t="s">
        <v>411</v>
      </c>
      <c r="C211" s="16" t="s">
        <v>635</v>
      </c>
      <c r="D211" s="16" t="s">
        <v>399</v>
      </c>
      <c r="E211" s="16" t="s">
        <v>365</v>
      </c>
      <c r="F211" s="16" t="s">
        <v>414</v>
      </c>
      <c r="G211" s="29">
        <v>7106</v>
      </c>
      <c r="H211" s="20">
        <v>3.64</v>
      </c>
      <c r="I211" s="22">
        <v>46239</v>
      </c>
      <c r="J211" s="24">
        <f>Estoque[[#This Row],[Qtd Estoque]]*Estoque[[#This Row],[Valor Unitário]]</f>
        <v>25865.84</v>
      </c>
      <c r="K211" s="34">
        <f ca="1">Estoque[[#This Row],[Validade]]-TODAY()</f>
        <v>129</v>
      </c>
      <c r="L211" s="17" t="str">
        <f ca="1">IF(Estoque[[#This Row],[Dias para Vencer]]&lt;0,"Vencido",IF(Estoque[[#This Row],[Dias para Vencer]] &lt;=30, "Risco de Vencimento","OK"))</f>
        <v>OK</v>
      </c>
    </row>
    <row r="212" spans="1:12" x14ac:dyDescent="0.25">
      <c r="A212" s="15" t="s">
        <v>383</v>
      </c>
      <c r="B212" s="16" t="s">
        <v>394</v>
      </c>
      <c r="C212" s="16" t="s">
        <v>636</v>
      </c>
      <c r="D212" s="16" t="s">
        <v>435</v>
      </c>
      <c r="E212" s="16" t="s">
        <v>367</v>
      </c>
      <c r="F212" s="16" t="s">
        <v>436</v>
      </c>
      <c r="G212" s="29">
        <v>7422</v>
      </c>
      <c r="H212" s="20">
        <v>3.86</v>
      </c>
      <c r="I212" s="22">
        <v>45658</v>
      </c>
      <c r="J212" s="24">
        <f>Estoque[[#This Row],[Qtd Estoque]]*Estoque[[#This Row],[Valor Unitário]]</f>
        <v>28648.92</v>
      </c>
      <c r="K212" s="34">
        <f ca="1">Estoque[[#This Row],[Validade]]-TODAY()</f>
        <v>-452</v>
      </c>
      <c r="L212" s="17" t="str">
        <f ca="1">IF(Estoque[[#This Row],[Dias para Vencer]]&lt;0,"Vencido",IF(Estoque[[#This Row],[Dias para Vencer]] &lt;=30, "Risco de Vencimento","OK"))</f>
        <v>Vencido</v>
      </c>
    </row>
    <row r="213" spans="1:12" x14ac:dyDescent="0.25">
      <c r="A213" s="15" t="s">
        <v>509</v>
      </c>
      <c r="B213" s="16" t="s">
        <v>418</v>
      </c>
      <c r="C213" s="16" t="s">
        <v>637</v>
      </c>
      <c r="D213" s="16" t="s">
        <v>391</v>
      </c>
      <c r="E213" s="16" t="s">
        <v>369</v>
      </c>
      <c r="F213" s="16" t="s">
        <v>427</v>
      </c>
      <c r="G213" s="29">
        <v>1110</v>
      </c>
      <c r="H213" s="20">
        <v>6.96</v>
      </c>
      <c r="I213" s="22">
        <v>46071</v>
      </c>
      <c r="J213" s="24">
        <f>Estoque[[#This Row],[Qtd Estoque]]*Estoque[[#This Row],[Valor Unitário]]</f>
        <v>7725.6</v>
      </c>
      <c r="K213" s="34">
        <f ca="1">Estoque[[#This Row],[Validade]]-TODAY()</f>
        <v>-39</v>
      </c>
      <c r="L213" s="17" t="str">
        <f ca="1">IF(Estoque[[#This Row],[Dias para Vencer]]&lt;0,"Vencido",IF(Estoque[[#This Row],[Dias para Vencer]] &lt;=30, "Risco de Vencimento","OK"))</f>
        <v>Vencido</v>
      </c>
    </row>
    <row r="214" spans="1:12" x14ac:dyDescent="0.25">
      <c r="A214" s="15" t="s">
        <v>393</v>
      </c>
      <c r="B214" s="16" t="s">
        <v>411</v>
      </c>
      <c r="C214" s="16" t="s">
        <v>638</v>
      </c>
      <c r="D214" s="16" t="s">
        <v>391</v>
      </c>
      <c r="E214" s="16" t="s">
        <v>369</v>
      </c>
      <c r="F214" s="16" t="s">
        <v>427</v>
      </c>
      <c r="G214" s="29">
        <v>1987</v>
      </c>
      <c r="H214" s="20">
        <v>3.64</v>
      </c>
      <c r="I214" s="22">
        <v>46129</v>
      </c>
      <c r="J214" s="24">
        <f>Estoque[[#This Row],[Qtd Estoque]]*Estoque[[#This Row],[Valor Unitário]]</f>
        <v>7232.68</v>
      </c>
      <c r="K214" s="34">
        <f ca="1">Estoque[[#This Row],[Validade]]-TODAY()</f>
        <v>19</v>
      </c>
      <c r="L214" s="17" t="str">
        <f ca="1">IF(Estoque[[#This Row],[Dias para Vencer]]&lt;0,"Vencido",IF(Estoque[[#This Row],[Dias para Vencer]] &lt;=30, "Risco de Vencimento","OK"))</f>
        <v>Risco de Vencimento</v>
      </c>
    </row>
    <row r="215" spans="1:12" x14ac:dyDescent="0.25">
      <c r="A215" s="15" t="s">
        <v>509</v>
      </c>
      <c r="B215" s="16" t="s">
        <v>418</v>
      </c>
      <c r="C215" s="16" t="s">
        <v>639</v>
      </c>
      <c r="D215" s="16" t="s">
        <v>399</v>
      </c>
      <c r="E215" s="16" t="s">
        <v>365</v>
      </c>
      <c r="F215" s="16" t="s">
        <v>414</v>
      </c>
      <c r="G215" s="29">
        <v>1142</v>
      </c>
      <c r="H215" s="20">
        <v>6.96</v>
      </c>
      <c r="I215" s="22">
        <v>46086</v>
      </c>
      <c r="J215" s="24">
        <f>Estoque[[#This Row],[Qtd Estoque]]*Estoque[[#This Row],[Valor Unitário]]</f>
        <v>7948.32</v>
      </c>
      <c r="K215" s="34">
        <f ca="1">Estoque[[#This Row],[Validade]]-TODAY()</f>
        <v>-24</v>
      </c>
      <c r="L215" s="17" t="str">
        <f ca="1">IF(Estoque[[#This Row],[Dias para Vencer]]&lt;0,"Vencido",IF(Estoque[[#This Row],[Dias para Vencer]] &lt;=30, "Risco de Vencimento","OK"))</f>
        <v>Vencido</v>
      </c>
    </row>
    <row r="216" spans="1:12" x14ac:dyDescent="0.25">
      <c r="A216" s="15" t="s">
        <v>383</v>
      </c>
      <c r="B216" s="16" t="s">
        <v>403</v>
      </c>
      <c r="C216" s="16" t="s">
        <v>640</v>
      </c>
      <c r="D216" s="16" t="s">
        <v>386</v>
      </c>
      <c r="E216" s="16" t="s">
        <v>371</v>
      </c>
      <c r="F216" s="16" t="s">
        <v>396</v>
      </c>
      <c r="G216" s="29">
        <v>4378</v>
      </c>
      <c r="H216" s="20">
        <v>7.43</v>
      </c>
      <c r="I216" s="22">
        <v>46716</v>
      </c>
      <c r="J216" s="24">
        <f>Estoque[[#This Row],[Qtd Estoque]]*Estoque[[#This Row],[Valor Unitário]]</f>
        <v>32528.539999999997</v>
      </c>
      <c r="K216" s="34">
        <f ca="1">Estoque[[#This Row],[Validade]]-TODAY()</f>
        <v>606</v>
      </c>
      <c r="L216" s="17" t="str">
        <f ca="1">IF(Estoque[[#This Row],[Dias para Vencer]]&lt;0,"Vencido",IF(Estoque[[#This Row],[Dias para Vencer]] &lt;=30, "Risco de Vencimento","OK"))</f>
        <v>OK</v>
      </c>
    </row>
    <row r="217" spans="1:12" x14ac:dyDescent="0.25">
      <c r="A217" s="15" t="s">
        <v>410</v>
      </c>
      <c r="B217" s="16" t="s">
        <v>394</v>
      </c>
      <c r="C217" s="16" t="s">
        <v>641</v>
      </c>
      <c r="D217" s="16" t="s">
        <v>391</v>
      </c>
      <c r="E217" s="16" t="s">
        <v>369</v>
      </c>
      <c r="F217" s="16" t="s">
        <v>427</v>
      </c>
      <c r="G217" s="29">
        <v>4878</v>
      </c>
      <c r="H217" s="20">
        <v>6.67</v>
      </c>
      <c r="I217" s="22">
        <v>45465</v>
      </c>
      <c r="J217" s="24">
        <f>Estoque[[#This Row],[Qtd Estoque]]*Estoque[[#This Row],[Valor Unitário]]</f>
        <v>32536.26</v>
      </c>
      <c r="K217" s="34">
        <f ca="1">Estoque[[#This Row],[Validade]]-TODAY()</f>
        <v>-645</v>
      </c>
      <c r="L217" s="17" t="str">
        <f ca="1">IF(Estoque[[#This Row],[Dias para Vencer]]&lt;0,"Vencido",IF(Estoque[[#This Row],[Dias para Vencer]] &lt;=30, "Risco de Vencimento","OK"))</f>
        <v>Vencido</v>
      </c>
    </row>
    <row r="218" spans="1:12" x14ac:dyDescent="0.25">
      <c r="A218" s="15" t="s">
        <v>423</v>
      </c>
      <c r="B218" s="16" t="s">
        <v>418</v>
      </c>
      <c r="C218" s="16" t="s">
        <v>642</v>
      </c>
      <c r="D218" s="16" t="s">
        <v>391</v>
      </c>
      <c r="E218" s="16" t="s">
        <v>370</v>
      </c>
      <c r="F218" s="16" t="s">
        <v>392</v>
      </c>
      <c r="G218" s="29">
        <v>6156</v>
      </c>
      <c r="H218" s="20">
        <v>2.27</v>
      </c>
      <c r="I218" s="22">
        <v>46233</v>
      </c>
      <c r="J218" s="24">
        <f>Estoque[[#This Row],[Qtd Estoque]]*Estoque[[#This Row],[Valor Unitário]]</f>
        <v>13974.12</v>
      </c>
      <c r="K218" s="34">
        <f ca="1">Estoque[[#This Row],[Validade]]-TODAY()</f>
        <v>123</v>
      </c>
      <c r="L218" s="17" t="str">
        <f ca="1">IF(Estoque[[#This Row],[Dias para Vencer]]&lt;0,"Vencido",IF(Estoque[[#This Row],[Dias para Vencer]] &lt;=30, "Risco de Vencimento","OK"))</f>
        <v>OK</v>
      </c>
    </row>
    <row r="219" spans="1:12" x14ac:dyDescent="0.25">
      <c r="A219" s="15" t="s">
        <v>440</v>
      </c>
      <c r="B219" s="16" t="s">
        <v>418</v>
      </c>
      <c r="C219" s="16" t="s">
        <v>643</v>
      </c>
      <c r="D219" s="16" t="s">
        <v>391</v>
      </c>
      <c r="E219" s="16" t="s">
        <v>370</v>
      </c>
      <c r="F219" s="16" t="s">
        <v>392</v>
      </c>
      <c r="G219" s="29">
        <v>3431</v>
      </c>
      <c r="H219" s="20">
        <v>7.16</v>
      </c>
      <c r="I219" s="22">
        <v>45516</v>
      </c>
      <c r="J219" s="24">
        <f>Estoque[[#This Row],[Qtd Estoque]]*Estoque[[#This Row],[Valor Unitário]]</f>
        <v>24565.96</v>
      </c>
      <c r="K219" s="34">
        <f ca="1">Estoque[[#This Row],[Validade]]-TODAY()</f>
        <v>-594</v>
      </c>
      <c r="L219" s="17" t="str">
        <f ca="1">IF(Estoque[[#This Row],[Dias para Vencer]]&lt;0,"Vencido",IF(Estoque[[#This Row],[Dias para Vencer]] &lt;=30, "Risco de Vencimento","OK"))</f>
        <v>Vencido</v>
      </c>
    </row>
    <row r="220" spans="1:12" x14ac:dyDescent="0.25">
      <c r="A220" s="15" t="s">
        <v>383</v>
      </c>
      <c r="B220" s="16" t="s">
        <v>401</v>
      </c>
      <c r="C220" s="16" t="s">
        <v>644</v>
      </c>
      <c r="D220" s="16" t="s">
        <v>435</v>
      </c>
      <c r="E220" s="16" t="s">
        <v>367</v>
      </c>
      <c r="F220" s="16" t="s">
        <v>436</v>
      </c>
      <c r="G220" s="29">
        <v>3242</v>
      </c>
      <c r="H220" s="20">
        <v>8.16</v>
      </c>
      <c r="I220" s="22">
        <v>45955</v>
      </c>
      <c r="J220" s="24">
        <f>Estoque[[#This Row],[Qtd Estoque]]*Estoque[[#This Row],[Valor Unitário]]</f>
        <v>26454.720000000001</v>
      </c>
      <c r="K220" s="34">
        <f ca="1">Estoque[[#This Row],[Validade]]-TODAY()</f>
        <v>-155</v>
      </c>
      <c r="L220" s="17" t="str">
        <f ca="1">IF(Estoque[[#This Row],[Dias para Vencer]]&lt;0,"Vencido",IF(Estoque[[#This Row],[Dias para Vencer]] &lt;=30, "Risco de Vencimento","OK"))</f>
        <v>Vencido</v>
      </c>
    </row>
    <row r="221" spans="1:12" x14ac:dyDescent="0.25">
      <c r="A221" s="15" t="s">
        <v>428</v>
      </c>
      <c r="B221" s="16" t="s">
        <v>389</v>
      </c>
      <c r="C221" s="16" t="s">
        <v>645</v>
      </c>
      <c r="D221" s="16" t="s">
        <v>386</v>
      </c>
      <c r="E221" s="16" t="s">
        <v>371</v>
      </c>
      <c r="F221" s="16" t="s">
        <v>396</v>
      </c>
      <c r="G221" s="29">
        <v>7690</v>
      </c>
      <c r="H221" s="20">
        <v>7.22</v>
      </c>
      <c r="I221" s="22">
        <v>46505</v>
      </c>
      <c r="J221" s="24">
        <f>Estoque[[#This Row],[Qtd Estoque]]*Estoque[[#This Row],[Valor Unitário]]</f>
        <v>55521.799999999996</v>
      </c>
      <c r="K221" s="34">
        <f ca="1">Estoque[[#This Row],[Validade]]-TODAY()</f>
        <v>395</v>
      </c>
      <c r="L221" s="17" t="str">
        <f ca="1">IF(Estoque[[#This Row],[Dias para Vencer]]&lt;0,"Vencido",IF(Estoque[[#This Row],[Dias para Vencer]] &lt;=30, "Risco de Vencimento","OK"))</f>
        <v>OK</v>
      </c>
    </row>
    <row r="222" spans="1:12" x14ac:dyDescent="0.25">
      <c r="A222" s="15" t="s">
        <v>393</v>
      </c>
      <c r="B222" s="16" t="s">
        <v>433</v>
      </c>
      <c r="C222" s="16" t="s">
        <v>646</v>
      </c>
      <c r="D222" s="16" t="s">
        <v>399</v>
      </c>
      <c r="E222" s="16" t="s">
        <v>366</v>
      </c>
      <c r="F222" s="16" t="s">
        <v>417</v>
      </c>
      <c r="G222" s="29">
        <v>4018</v>
      </c>
      <c r="H222" s="20">
        <v>4.8099999999999996</v>
      </c>
      <c r="I222" s="22">
        <v>46439</v>
      </c>
      <c r="J222" s="24">
        <f>Estoque[[#This Row],[Qtd Estoque]]*Estoque[[#This Row],[Valor Unitário]]</f>
        <v>19326.579999999998</v>
      </c>
      <c r="K222" s="34">
        <f ca="1">Estoque[[#This Row],[Validade]]-TODAY()</f>
        <v>329</v>
      </c>
      <c r="L222" s="17" t="str">
        <f ca="1">IF(Estoque[[#This Row],[Dias para Vencer]]&lt;0,"Vencido",IF(Estoque[[#This Row],[Dias para Vencer]] &lt;=30, "Risco de Vencimento","OK"))</f>
        <v>OK</v>
      </c>
    </row>
    <row r="223" spans="1:12" x14ac:dyDescent="0.25">
      <c r="A223" s="15" t="s">
        <v>383</v>
      </c>
      <c r="B223" s="16" t="s">
        <v>394</v>
      </c>
      <c r="C223" s="16" t="s">
        <v>647</v>
      </c>
      <c r="D223" s="16" t="s">
        <v>391</v>
      </c>
      <c r="E223" s="16" t="s">
        <v>370</v>
      </c>
      <c r="F223" s="16" t="s">
        <v>392</v>
      </c>
      <c r="G223" s="29">
        <v>7047</v>
      </c>
      <c r="H223" s="20">
        <v>3.86</v>
      </c>
      <c r="I223" s="22">
        <v>45788</v>
      </c>
      <c r="J223" s="24">
        <f>Estoque[[#This Row],[Qtd Estoque]]*Estoque[[#This Row],[Valor Unitário]]</f>
        <v>27201.42</v>
      </c>
      <c r="K223" s="34">
        <f ca="1">Estoque[[#This Row],[Validade]]-TODAY()</f>
        <v>-322</v>
      </c>
      <c r="L223" s="17" t="str">
        <f ca="1">IF(Estoque[[#This Row],[Dias para Vencer]]&lt;0,"Vencido",IF(Estoque[[#This Row],[Dias para Vencer]] &lt;=30, "Risco de Vencimento","OK"))</f>
        <v>Vencido</v>
      </c>
    </row>
    <row r="224" spans="1:12" x14ac:dyDescent="0.25">
      <c r="A224" s="15" t="s">
        <v>406</v>
      </c>
      <c r="B224" s="16" t="s">
        <v>394</v>
      </c>
      <c r="C224" s="16" t="s">
        <v>648</v>
      </c>
      <c r="D224" s="16" t="s">
        <v>435</v>
      </c>
      <c r="E224" s="16" t="s">
        <v>367</v>
      </c>
      <c r="F224" s="16" t="s">
        <v>436</v>
      </c>
      <c r="G224" s="29">
        <v>4400</v>
      </c>
      <c r="H224" s="20">
        <v>7.42</v>
      </c>
      <c r="I224" s="22">
        <v>45867</v>
      </c>
      <c r="J224" s="24">
        <f>Estoque[[#This Row],[Qtd Estoque]]*Estoque[[#This Row],[Valor Unitário]]</f>
        <v>32648</v>
      </c>
      <c r="K224" s="34">
        <f ca="1">Estoque[[#This Row],[Validade]]-TODAY()</f>
        <v>-243</v>
      </c>
      <c r="L224" s="17" t="str">
        <f ca="1">IF(Estoque[[#This Row],[Dias para Vencer]]&lt;0,"Vencido",IF(Estoque[[#This Row],[Dias para Vencer]] &lt;=30, "Risco de Vencimento","OK"))</f>
        <v>Vencido</v>
      </c>
    </row>
    <row r="225" spans="1:12" x14ac:dyDescent="0.25">
      <c r="A225" s="15" t="s">
        <v>431</v>
      </c>
      <c r="B225" s="16" t="s">
        <v>433</v>
      </c>
      <c r="C225" s="16" t="s">
        <v>649</v>
      </c>
      <c r="D225" s="16" t="s">
        <v>435</v>
      </c>
      <c r="E225" s="16" t="s">
        <v>368</v>
      </c>
      <c r="F225" s="16" t="s">
        <v>463</v>
      </c>
      <c r="G225" s="29">
        <v>7408</v>
      </c>
      <c r="H225" s="20">
        <v>5.76</v>
      </c>
      <c r="I225" s="22">
        <v>46679</v>
      </c>
      <c r="J225" s="24">
        <f>Estoque[[#This Row],[Qtd Estoque]]*Estoque[[#This Row],[Valor Unitário]]</f>
        <v>42670.080000000002</v>
      </c>
      <c r="K225" s="34">
        <f ca="1">Estoque[[#This Row],[Validade]]-TODAY()</f>
        <v>569</v>
      </c>
      <c r="L225" s="17" t="str">
        <f ca="1">IF(Estoque[[#This Row],[Dias para Vencer]]&lt;0,"Vencido",IF(Estoque[[#This Row],[Dias para Vencer]] &lt;=30, "Risco de Vencimento","OK"))</f>
        <v>OK</v>
      </c>
    </row>
    <row r="226" spans="1:12" x14ac:dyDescent="0.25">
      <c r="A226" s="15" t="s">
        <v>464</v>
      </c>
      <c r="B226" s="16" t="s">
        <v>453</v>
      </c>
      <c r="C226" s="16" t="s">
        <v>650</v>
      </c>
      <c r="D226" s="16" t="s">
        <v>435</v>
      </c>
      <c r="E226" s="16" t="s">
        <v>367</v>
      </c>
      <c r="F226" s="16" t="s">
        <v>436</v>
      </c>
      <c r="G226" s="29">
        <v>2013</v>
      </c>
      <c r="H226" s="20">
        <v>3.52</v>
      </c>
      <c r="I226" s="22">
        <v>46053</v>
      </c>
      <c r="J226" s="24">
        <f>Estoque[[#This Row],[Qtd Estoque]]*Estoque[[#This Row],[Valor Unitário]]</f>
        <v>7085.76</v>
      </c>
      <c r="K226" s="34">
        <f ca="1">Estoque[[#This Row],[Validade]]-TODAY()</f>
        <v>-57</v>
      </c>
      <c r="L226" s="17" t="str">
        <f ca="1">IF(Estoque[[#This Row],[Dias para Vencer]]&lt;0,"Vencido",IF(Estoque[[#This Row],[Dias para Vencer]] &lt;=30, "Risco de Vencimento","OK"))</f>
        <v>Vencido</v>
      </c>
    </row>
    <row r="227" spans="1:12" x14ac:dyDescent="0.25">
      <c r="A227" s="15" t="s">
        <v>509</v>
      </c>
      <c r="B227" s="16" t="s">
        <v>394</v>
      </c>
      <c r="C227" s="16" t="s">
        <v>651</v>
      </c>
      <c r="D227" s="16" t="s">
        <v>391</v>
      </c>
      <c r="E227" s="16" t="s">
        <v>369</v>
      </c>
      <c r="F227" s="16" t="s">
        <v>427</v>
      </c>
      <c r="G227" s="29">
        <v>1532</v>
      </c>
      <c r="H227" s="20">
        <v>5.55</v>
      </c>
      <c r="I227" s="22">
        <v>46430</v>
      </c>
      <c r="J227" s="24">
        <f>Estoque[[#This Row],[Qtd Estoque]]*Estoque[[#This Row],[Valor Unitário]]</f>
        <v>8502.6</v>
      </c>
      <c r="K227" s="34">
        <f ca="1">Estoque[[#This Row],[Validade]]-TODAY()</f>
        <v>320</v>
      </c>
      <c r="L227" s="17" t="str">
        <f ca="1">IF(Estoque[[#This Row],[Dias para Vencer]]&lt;0,"Vencido",IF(Estoque[[#This Row],[Dias para Vencer]] &lt;=30, "Risco de Vencimento","OK"))</f>
        <v>OK</v>
      </c>
    </row>
    <row r="228" spans="1:12" x14ac:dyDescent="0.25">
      <c r="A228" s="15" t="s">
        <v>397</v>
      </c>
      <c r="B228" s="16" t="s">
        <v>411</v>
      </c>
      <c r="C228" s="16" t="s">
        <v>547</v>
      </c>
      <c r="D228" s="16" t="s">
        <v>435</v>
      </c>
      <c r="E228" s="16" t="s">
        <v>367</v>
      </c>
      <c r="F228" s="16" t="s">
        <v>436</v>
      </c>
      <c r="G228" s="29">
        <v>4534</v>
      </c>
      <c r="H228" s="20">
        <v>2.0299999999999998</v>
      </c>
      <c r="I228" s="22">
        <v>46391</v>
      </c>
      <c r="J228" s="24">
        <f>Estoque[[#This Row],[Qtd Estoque]]*Estoque[[#This Row],[Valor Unitário]]</f>
        <v>9204.0199999999986</v>
      </c>
      <c r="K228" s="34">
        <f ca="1">Estoque[[#This Row],[Validade]]-TODAY()</f>
        <v>281</v>
      </c>
      <c r="L228" s="17" t="str">
        <f ca="1">IF(Estoque[[#This Row],[Dias para Vencer]]&lt;0,"Vencido",IF(Estoque[[#This Row],[Dias para Vencer]] &lt;=30, "Risco de Vencimento","OK"))</f>
        <v>OK</v>
      </c>
    </row>
    <row r="229" spans="1:12" x14ac:dyDescent="0.25">
      <c r="A229" s="15" t="s">
        <v>415</v>
      </c>
      <c r="B229" s="16" t="s">
        <v>433</v>
      </c>
      <c r="C229" s="16" t="s">
        <v>652</v>
      </c>
      <c r="D229" s="16" t="s">
        <v>399</v>
      </c>
      <c r="E229" s="16" t="s">
        <v>366</v>
      </c>
      <c r="F229" s="16" t="s">
        <v>417</v>
      </c>
      <c r="G229" s="29">
        <v>5064</v>
      </c>
      <c r="H229" s="20">
        <v>3.71</v>
      </c>
      <c r="I229" s="22">
        <v>45473</v>
      </c>
      <c r="J229" s="24">
        <f>Estoque[[#This Row],[Qtd Estoque]]*Estoque[[#This Row],[Valor Unitário]]</f>
        <v>18787.439999999999</v>
      </c>
      <c r="K229" s="34">
        <f ca="1">Estoque[[#This Row],[Validade]]-TODAY()</f>
        <v>-637</v>
      </c>
      <c r="L229" s="17" t="str">
        <f ca="1">IF(Estoque[[#This Row],[Dias para Vencer]]&lt;0,"Vencido",IF(Estoque[[#This Row],[Dias para Vencer]] &lt;=30, "Risco de Vencimento","OK"))</f>
        <v>Vencido</v>
      </c>
    </row>
    <row r="230" spans="1:12" x14ac:dyDescent="0.25">
      <c r="A230" s="15" t="s">
        <v>431</v>
      </c>
      <c r="B230" s="16" t="s">
        <v>403</v>
      </c>
      <c r="C230" s="16" t="s">
        <v>653</v>
      </c>
      <c r="D230" s="16" t="s">
        <v>399</v>
      </c>
      <c r="E230" s="16" t="s">
        <v>366</v>
      </c>
      <c r="F230" s="16" t="s">
        <v>417</v>
      </c>
      <c r="G230" s="29">
        <v>5588</v>
      </c>
      <c r="H230" s="20">
        <v>5.7</v>
      </c>
      <c r="I230" s="22">
        <v>45449</v>
      </c>
      <c r="J230" s="24">
        <f>Estoque[[#This Row],[Qtd Estoque]]*Estoque[[#This Row],[Valor Unitário]]</f>
        <v>31851.600000000002</v>
      </c>
      <c r="K230" s="34">
        <f ca="1">Estoque[[#This Row],[Validade]]-TODAY()</f>
        <v>-661</v>
      </c>
      <c r="L230" s="17" t="str">
        <f ca="1">IF(Estoque[[#This Row],[Dias para Vencer]]&lt;0,"Vencido",IF(Estoque[[#This Row],[Dias para Vencer]] &lt;=30, "Risco de Vencimento","OK"))</f>
        <v>Vencido</v>
      </c>
    </row>
    <row r="231" spans="1:12" x14ac:dyDescent="0.25">
      <c r="A231" s="15" t="s">
        <v>421</v>
      </c>
      <c r="B231" s="16" t="s">
        <v>394</v>
      </c>
      <c r="C231" s="16" t="s">
        <v>654</v>
      </c>
      <c r="D231" s="16" t="s">
        <v>386</v>
      </c>
      <c r="E231" s="16" t="s">
        <v>371</v>
      </c>
      <c r="F231" s="16" t="s">
        <v>396</v>
      </c>
      <c r="G231" s="29">
        <v>3882</v>
      </c>
      <c r="H231" s="20">
        <v>4.2699999999999996</v>
      </c>
      <c r="I231" s="22">
        <v>45330</v>
      </c>
      <c r="J231" s="24">
        <f>Estoque[[#This Row],[Qtd Estoque]]*Estoque[[#This Row],[Valor Unitário]]</f>
        <v>16576.14</v>
      </c>
      <c r="K231" s="34">
        <f ca="1">Estoque[[#This Row],[Validade]]-TODAY()</f>
        <v>-780</v>
      </c>
      <c r="L231" s="17" t="str">
        <f ca="1">IF(Estoque[[#This Row],[Dias para Vencer]]&lt;0,"Vencido",IF(Estoque[[#This Row],[Dias para Vencer]] &lt;=30, "Risco de Vencimento","OK"))</f>
        <v>Vencido</v>
      </c>
    </row>
    <row r="232" spans="1:12" x14ac:dyDescent="0.25">
      <c r="A232" s="15" t="s">
        <v>442</v>
      </c>
      <c r="B232" s="16" t="s">
        <v>453</v>
      </c>
      <c r="C232" s="16" t="s">
        <v>655</v>
      </c>
      <c r="D232" s="16" t="s">
        <v>399</v>
      </c>
      <c r="E232" s="16" t="s">
        <v>366</v>
      </c>
      <c r="F232" s="16" t="s">
        <v>417</v>
      </c>
      <c r="G232" s="29">
        <v>5680</v>
      </c>
      <c r="H232" s="20">
        <v>6.76</v>
      </c>
      <c r="I232" s="22">
        <v>45691</v>
      </c>
      <c r="J232" s="24">
        <f>Estoque[[#This Row],[Qtd Estoque]]*Estoque[[#This Row],[Valor Unitário]]</f>
        <v>38396.799999999996</v>
      </c>
      <c r="K232" s="34">
        <f ca="1">Estoque[[#This Row],[Validade]]-TODAY()</f>
        <v>-419</v>
      </c>
      <c r="L232" s="17" t="str">
        <f ca="1">IF(Estoque[[#This Row],[Dias para Vencer]]&lt;0,"Vencido",IF(Estoque[[#This Row],[Dias para Vencer]] &lt;=30, "Risco de Vencimento","OK"))</f>
        <v>Vencido</v>
      </c>
    </row>
    <row r="233" spans="1:12" x14ac:dyDescent="0.25">
      <c r="A233" s="15" t="s">
        <v>440</v>
      </c>
      <c r="B233" s="16" t="s">
        <v>433</v>
      </c>
      <c r="C233" s="16" t="s">
        <v>656</v>
      </c>
      <c r="D233" s="16" t="s">
        <v>386</v>
      </c>
      <c r="E233" s="16" t="s">
        <v>371</v>
      </c>
      <c r="F233" s="16" t="s">
        <v>396</v>
      </c>
      <c r="G233" s="29">
        <v>4974</v>
      </c>
      <c r="H233" s="20">
        <v>5.48</v>
      </c>
      <c r="I233" s="22">
        <v>46438</v>
      </c>
      <c r="J233" s="24">
        <f>Estoque[[#This Row],[Qtd Estoque]]*Estoque[[#This Row],[Valor Unitário]]</f>
        <v>27257.52</v>
      </c>
      <c r="K233" s="34">
        <f ca="1">Estoque[[#This Row],[Validade]]-TODAY()</f>
        <v>328</v>
      </c>
      <c r="L233" s="17" t="str">
        <f ca="1">IF(Estoque[[#This Row],[Dias para Vencer]]&lt;0,"Vencido",IF(Estoque[[#This Row],[Dias para Vencer]] &lt;=30, "Risco de Vencimento","OK"))</f>
        <v>OK</v>
      </c>
    </row>
    <row r="234" spans="1:12" x14ac:dyDescent="0.25">
      <c r="A234" s="15" t="s">
        <v>421</v>
      </c>
      <c r="B234" s="16" t="s">
        <v>411</v>
      </c>
      <c r="C234" s="16" t="s">
        <v>657</v>
      </c>
      <c r="D234" s="16" t="s">
        <v>399</v>
      </c>
      <c r="E234" s="16" t="s">
        <v>363</v>
      </c>
      <c r="F234" s="16" t="s">
        <v>400</v>
      </c>
      <c r="G234" s="29">
        <v>4436</v>
      </c>
      <c r="H234" s="20">
        <v>4.95</v>
      </c>
      <c r="I234" s="22">
        <v>46658</v>
      </c>
      <c r="J234" s="24">
        <f>Estoque[[#This Row],[Qtd Estoque]]*Estoque[[#This Row],[Valor Unitário]]</f>
        <v>21958.2</v>
      </c>
      <c r="K234" s="34">
        <f ca="1">Estoque[[#This Row],[Validade]]-TODAY()</f>
        <v>548</v>
      </c>
      <c r="L234" s="17" t="str">
        <f ca="1">IF(Estoque[[#This Row],[Dias para Vencer]]&lt;0,"Vencido",IF(Estoque[[#This Row],[Dias para Vencer]] &lt;=30, "Risco de Vencimento","OK"))</f>
        <v>OK</v>
      </c>
    </row>
    <row r="235" spans="1:12" x14ac:dyDescent="0.25">
      <c r="A235" s="15" t="s">
        <v>406</v>
      </c>
      <c r="B235" s="16" t="s">
        <v>389</v>
      </c>
      <c r="C235" s="16" t="s">
        <v>658</v>
      </c>
      <c r="D235" s="16" t="s">
        <v>391</v>
      </c>
      <c r="E235" s="16" t="s">
        <v>370</v>
      </c>
      <c r="F235" s="16" t="s">
        <v>392</v>
      </c>
      <c r="G235" s="29">
        <v>3088</v>
      </c>
      <c r="H235" s="20">
        <v>4.33</v>
      </c>
      <c r="I235" s="22">
        <v>46555</v>
      </c>
      <c r="J235" s="24">
        <f>Estoque[[#This Row],[Qtd Estoque]]*Estoque[[#This Row],[Valor Unitário]]</f>
        <v>13371.04</v>
      </c>
      <c r="K235" s="34">
        <f ca="1">Estoque[[#This Row],[Validade]]-TODAY()</f>
        <v>445</v>
      </c>
      <c r="L235" s="17" t="str">
        <f ca="1">IF(Estoque[[#This Row],[Dias para Vencer]]&lt;0,"Vencido",IF(Estoque[[#This Row],[Dias para Vencer]] &lt;=30, "Risco de Vencimento","OK"))</f>
        <v>OK</v>
      </c>
    </row>
    <row r="236" spans="1:12" x14ac:dyDescent="0.25">
      <c r="A236" s="15" t="s">
        <v>473</v>
      </c>
      <c r="B236" s="16" t="s">
        <v>403</v>
      </c>
      <c r="C236" s="16" t="s">
        <v>659</v>
      </c>
      <c r="D236" s="16" t="s">
        <v>391</v>
      </c>
      <c r="E236" s="16" t="s">
        <v>369</v>
      </c>
      <c r="F236" s="16" t="s">
        <v>427</v>
      </c>
      <c r="G236" s="29">
        <v>3274</v>
      </c>
      <c r="H236" s="20">
        <v>8.32</v>
      </c>
      <c r="I236" s="22">
        <v>45324</v>
      </c>
      <c r="J236" s="24">
        <f>Estoque[[#This Row],[Qtd Estoque]]*Estoque[[#This Row],[Valor Unitário]]</f>
        <v>27239.68</v>
      </c>
      <c r="K236" s="34">
        <f ca="1">Estoque[[#This Row],[Validade]]-TODAY()</f>
        <v>-786</v>
      </c>
      <c r="L236" s="17" t="str">
        <f ca="1">IF(Estoque[[#This Row],[Dias para Vencer]]&lt;0,"Vencido",IF(Estoque[[#This Row],[Dias para Vencer]] &lt;=30, "Risco de Vencimento","OK"))</f>
        <v>Vencido</v>
      </c>
    </row>
    <row r="237" spans="1:12" x14ac:dyDescent="0.25">
      <c r="A237" s="15" t="s">
        <v>410</v>
      </c>
      <c r="B237" s="16" t="s">
        <v>411</v>
      </c>
      <c r="C237" s="16" t="s">
        <v>660</v>
      </c>
      <c r="D237" s="16" t="s">
        <v>391</v>
      </c>
      <c r="E237" s="16" t="s">
        <v>370</v>
      </c>
      <c r="F237" s="16" t="s">
        <v>392</v>
      </c>
      <c r="G237" s="29">
        <v>6254</v>
      </c>
      <c r="H237" s="20">
        <v>5.86</v>
      </c>
      <c r="I237" s="22">
        <v>45781</v>
      </c>
      <c r="J237" s="24">
        <f>Estoque[[#This Row],[Qtd Estoque]]*Estoque[[#This Row],[Valor Unitário]]</f>
        <v>36648.44</v>
      </c>
      <c r="K237" s="34">
        <f ca="1">Estoque[[#This Row],[Validade]]-TODAY()</f>
        <v>-329</v>
      </c>
      <c r="L237" s="17" t="str">
        <f ca="1">IF(Estoque[[#This Row],[Dias para Vencer]]&lt;0,"Vencido",IF(Estoque[[#This Row],[Dias para Vencer]] &lt;=30, "Risco de Vencimento","OK"))</f>
        <v>Vencido</v>
      </c>
    </row>
    <row r="238" spans="1:12" x14ac:dyDescent="0.25">
      <c r="A238" s="15" t="s">
        <v>425</v>
      </c>
      <c r="B238" s="16" t="s">
        <v>389</v>
      </c>
      <c r="C238" s="16" t="s">
        <v>661</v>
      </c>
      <c r="D238" s="16" t="s">
        <v>391</v>
      </c>
      <c r="E238" s="16" t="s">
        <v>370</v>
      </c>
      <c r="F238" s="16" t="s">
        <v>392</v>
      </c>
      <c r="G238" s="29">
        <v>1737</v>
      </c>
      <c r="H238" s="20">
        <v>8.59</v>
      </c>
      <c r="I238" s="22">
        <v>46249</v>
      </c>
      <c r="J238" s="24">
        <f>Estoque[[#This Row],[Qtd Estoque]]*Estoque[[#This Row],[Valor Unitário]]</f>
        <v>14920.83</v>
      </c>
      <c r="K238" s="34">
        <f ca="1">Estoque[[#This Row],[Validade]]-TODAY()</f>
        <v>139</v>
      </c>
      <c r="L238" s="17" t="str">
        <f ca="1">IF(Estoque[[#This Row],[Dias para Vencer]]&lt;0,"Vencido",IF(Estoque[[#This Row],[Dias para Vencer]] &lt;=30, "Risco de Vencimento","OK"))</f>
        <v>OK</v>
      </c>
    </row>
    <row r="239" spans="1:12" x14ac:dyDescent="0.25">
      <c r="A239" s="15" t="s">
        <v>393</v>
      </c>
      <c r="B239" s="16" t="s">
        <v>411</v>
      </c>
      <c r="C239" s="16" t="s">
        <v>662</v>
      </c>
      <c r="D239" s="16" t="s">
        <v>435</v>
      </c>
      <c r="E239" s="16" t="s">
        <v>368</v>
      </c>
      <c r="F239" s="16" t="s">
        <v>463</v>
      </c>
      <c r="G239" s="29">
        <v>8128</v>
      </c>
      <c r="H239" s="20">
        <v>3.64</v>
      </c>
      <c r="I239" s="22">
        <v>46380</v>
      </c>
      <c r="J239" s="24">
        <f>Estoque[[#This Row],[Qtd Estoque]]*Estoque[[#This Row],[Valor Unitário]]</f>
        <v>29585.920000000002</v>
      </c>
      <c r="K239" s="34">
        <f ca="1">Estoque[[#This Row],[Validade]]-TODAY()</f>
        <v>270</v>
      </c>
      <c r="L239" s="17" t="str">
        <f ca="1">IF(Estoque[[#This Row],[Dias para Vencer]]&lt;0,"Vencido",IF(Estoque[[#This Row],[Dias para Vencer]] &lt;=30, "Risco de Vencimento","OK"))</f>
        <v>OK</v>
      </c>
    </row>
    <row r="240" spans="1:12" x14ac:dyDescent="0.25">
      <c r="A240" s="15" t="s">
        <v>415</v>
      </c>
      <c r="B240" s="16" t="s">
        <v>433</v>
      </c>
      <c r="C240" s="16" t="s">
        <v>663</v>
      </c>
      <c r="D240" s="16" t="s">
        <v>386</v>
      </c>
      <c r="E240" s="16" t="s">
        <v>371</v>
      </c>
      <c r="F240" s="16" t="s">
        <v>396</v>
      </c>
      <c r="G240" s="29">
        <v>3981</v>
      </c>
      <c r="H240" s="20">
        <v>3.71</v>
      </c>
      <c r="I240" s="22">
        <v>45924</v>
      </c>
      <c r="J240" s="24">
        <f>Estoque[[#This Row],[Qtd Estoque]]*Estoque[[#This Row],[Valor Unitário]]</f>
        <v>14769.51</v>
      </c>
      <c r="K240" s="34">
        <f ca="1">Estoque[[#This Row],[Validade]]-TODAY()</f>
        <v>-186</v>
      </c>
      <c r="L240" s="17" t="str">
        <f ca="1">IF(Estoque[[#This Row],[Dias para Vencer]]&lt;0,"Vencido",IF(Estoque[[#This Row],[Dias para Vencer]] &lt;=30, "Risco de Vencimento","OK"))</f>
        <v>Vencido</v>
      </c>
    </row>
    <row r="241" spans="1:12" x14ac:dyDescent="0.25">
      <c r="A241" s="15" t="s">
        <v>464</v>
      </c>
      <c r="B241" s="16" t="s">
        <v>394</v>
      </c>
      <c r="C241" s="16" t="s">
        <v>664</v>
      </c>
      <c r="D241" s="16" t="s">
        <v>435</v>
      </c>
      <c r="E241" s="16" t="s">
        <v>367</v>
      </c>
      <c r="F241" s="16" t="s">
        <v>436</v>
      </c>
      <c r="G241" s="29">
        <v>2056</v>
      </c>
      <c r="H241" s="20">
        <v>1.67</v>
      </c>
      <c r="I241" s="22">
        <v>45639</v>
      </c>
      <c r="J241" s="24">
        <f>Estoque[[#This Row],[Qtd Estoque]]*Estoque[[#This Row],[Valor Unitário]]</f>
        <v>3433.52</v>
      </c>
      <c r="K241" s="34">
        <f ca="1">Estoque[[#This Row],[Validade]]-TODAY()</f>
        <v>-471</v>
      </c>
      <c r="L241" s="17" t="str">
        <f ca="1">IF(Estoque[[#This Row],[Dias para Vencer]]&lt;0,"Vencido",IF(Estoque[[#This Row],[Dias para Vencer]] &lt;=30, "Risco de Vencimento","OK"))</f>
        <v>Vencido</v>
      </c>
    </row>
    <row r="242" spans="1:12" x14ac:dyDescent="0.25">
      <c r="A242" s="15" t="s">
        <v>388</v>
      </c>
      <c r="B242" s="16" t="s">
        <v>389</v>
      </c>
      <c r="C242" s="16" t="s">
        <v>665</v>
      </c>
      <c r="D242" s="16" t="s">
        <v>391</v>
      </c>
      <c r="E242" s="16" t="s">
        <v>370</v>
      </c>
      <c r="F242" s="16" t="s">
        <v>392</v>
      </c>
      <c r="G242" s="29">
        <v>4163</v>
      </c>
      <c r="H242" s="20">
        <v>9.24</v>
      </c>
      <c r="I242" s="22">
        <v>45737</v>
      </c>
      <c r="J242" s="24">
        <f>Estoque[[#This Row],[Qtd Estoque]]*Estoque[[#This Row],[Valor Unitário]]</f>
        <v>38466.120000000003</v>
      </c>
      <c r="K242" s="34">
        <f ca="1">Estoque[[#This Row],[Validade]]-TODAY()</f>
        <v>-373</v>
      </c>
      <c r="L242" s="17" t="str">
        <f ca="1">IF(Estoque[[#This Row],[Dias para Vencer]]&lt;0,"Vencido",IF(Estoque[[#This Row],[Dias para Vencer]] &lt;=30, "Risco de Vencimento","OK"))</f>
        <v>Vencido</v>
      </c>
    </row>
    <row r="243" spans="1:12" x14ac:dyDescent="0.25">
      <c r="A243" s="15" t="s">
        <v>406</v>
      </c>
      <c r="B243" s="16" t="s">
        <v>433</v>
      </c>
      <c r="C243" s="16" t="s">
        <v>666</v>
      </c>
      <c r="D243" s="16" t="s">
        <v>391</v>
      </c>
      <c r="E243" s="16" t="s">
        <v>369</v>
      </c>
      <c r="F243" s="16" t="s">
        <v>427</v>
      </c>
      <c r="G243" s="29">
        <v>5172</v>
      </c>
      <c r="H243" s="20">
        <v>5.79</v>
      </c>
      <c r="I243" s="22">
        <v>45647</v>
      </c>
      <c r="J243" s="24">
        <f>Estoque[[#This Row],[Qtd Estoque]]*Estoque[[#This Row],[Valor Unitário]]</f>
        <v>29945.88</v>
      </c>
      <c r="K243" s="34">
        <f ca="1">Estoque[[#This Row],[Validade]]-TODAY()</f>
        <v>-463</v>
      </c>
      <c r="L243" s="17" t="str">
        <f ca="1">IF(Estoque[[#This Row],[Dias para Vencer]]&lt;0,"Vencido",IF(Estoque[[#This Row],[Dias para Vencer]] &lt;=30, "Risco de Vencimento","OK"))</f>
        <v>Vencido</v>
      </c>
    </row>
    <row r="244" spans="1:12" x14ac:dyDescent="0.25">
      <c r="A244" s="15" t="s">
        <v>423</v>
      </c>
      <c r="B244" s="16" t="s">
        <v>667</v>
      </c>
      <c r="C244" s="16" t="s">
        <v>668</v>
      </c>
      <c r="D244" s="16" t="s">
        <v>386</v>
      </c>
      <c r="E244" s="16" t="s">
        <v>371</v>
      </c>
      <c r="F244" s="16" t="s">
        <v>396</v>
      </c>
      <c r="G244" s="29">
        <v>7690</v>
      </c>
      <c r="H244" s="20">
        <v>7.22</v>
      </c>
      <c r="I244" s="22">
        <v>46505</v>
      </c>
      <c r="J244" s="24">
        <f>Estoque[[#This Row],[Qtd Estoque]]*Estoque[[#This Row],[Valor Unitário]]</f>
        <v>55521.799999999996</v>
      </c>
      <c r="K244" s="34">
        <f ca="1">Estoque[[#This Row],[Validade]]-TODAY()</f>
        <v>395</v>
      </c>
      <c r="L244" s="17" t="str">
        <f ca="1">IF(Estoque[[#This Row],[Dias para Vencer]]&lt;0,"Vencido",IF(Estoque[[#This Row],[Dias para Vencer]] &lt;=30, "Risco de Vencimento","OK"))</f>
        <v>OK</v>
      </c>
    </row>
    <row r="245" spans="1:12" x14ac:dyDescent="0.25">
      <c r="A245" s="18" t="s">
        <v>421</v>
      </c>
      <c r="B245" s="19" t="s">
        <v>669</v>
      </c>
      <c r="C245" s="19" t="s">
        <v>662</v>
      </c>
      <c r="D245" s="19" t="s">
        <v>435</v>
      </c>
      <c r="E245" s="19" t="s">
        <v>368</v>
      </c>
      <c r="F245" s="19" t="s">
        <v>463</v>
      </c>
      <c r="G245" s="30">
        <v>8128</v>
      </c>
      <c r="H245" s="21">
        <v>3.64</v>
      </c>
      <c r="I245" s="23">
        <v>46380</v>
      </c>
      <c r="J245" s="25">
        <f>Estoque[[#This Row],[Qtd Estoque]]*Estoque[[#This Row],[Valor Unitário]]</f>
        <v>29585.920000000002</v>
      </c>
      <c r="K245" s="34">
        <f ca="1">Estoque[[#This Row],[Validade]]-TODAY()</f>
        <v>270</v>
      </c>
      <c r="L245" s="17" t="str">
        <f ca="1">IF(Estoque[[#This Row],[Dias para Vencer]]&lt;0,"Vencido",IF(Estoque[[#This Row],[Dias para Vencer]] &lt;=30, "Risco de Vencimento","OK"))</f>
        <v>OK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E0FF3-D6CB-4115-82EB-9372F6DFDC42}">
  <dimension ref="A1:E124"/>
  <sheetViews>
    <sheetView tabSelected="1" topLeftCell="A49" workbookViewId="0">
      <selection activeCell="C25" sqref="C25"/>
    </sheetView>
  </sheetViews>
  <sheetFormatPr defaultRowHeight="15" x14ac:dyDescent="0.25"/>
  <cols>
    <col min="1" max="1" width="24.85546875" bestFit="1" customWidth="1"/>
    <col min="2" max="2" width="22.7109375" bestFit="1" customWidth="1"/>
    <col min="3" max="3" width="20" bestFit="1" customWidth="1"/>
    <col min="4" max="5" width="15.85546875" bestFit="1" customWidth="1"/>
    <col min="6" max="6" width="20.140625" bestFit="1" customWidth="1"/>
    <col min="7" max="7" width="18.85546875" bestFit="1" customWidth="1"/>
    <col min="8" max="8" width="25.140625" bestFit="1" customWidth="1"/>
    <col min="9" max="9" width="23.85546875" bestFit="1" customWidth="1"/>
    <col min="10" max="19" width="19.5703125" bestFit="1" customWidth="1"/>
    <col min="20" max="22" width="10.7109375" bestFit="1" customWidth="1"/>
  </cols>
  <sheetData>
    <row r="1" spans="1:2" x14ac:dyDescent="0.25">
      <c r="A1" s="32" t="s">
        <v>670</v>
      </c>
      <c r="B1" s="33">
        <f>B22</f>
        <v>7537191.7599999998</v>
      </c>
    </row>
    <row r="2" spans="1:2" x14ac:dyDescent="0.25">
      <c r="A2" s="26" t="s">
        <v>0</v>
      </c>
      <c r="B2" s="17" t="s">
        <v>681</v>
      </c>
    </row>
    <row r="3" spans="1:2" x14ac:dyDescent="0.25">
      <c r="A3" s="27" t="s">
        <v>397</v>
      </c>
      <c r="B3" s="28">
        <v>650977.00000000012</v>
      </c>
    </row>
    <row r="4" spans="1:2" x14ac:dyDescent="0.25">
      <c r="A4" s="27" t="s">
        <v>406</v>
      </c>
      <c r="B4" s="28">
        <v>618999.53</v>
      </c>
    </row>
    <row r="5" spans="1:2" x14ac:dyDescent="0.25">
      <c r="A5" s="27" t="s">
        <v>431</v>
      </c>
      <c r="B5" s="28">
        <v>540525.50000000012</v>
      </c>
    </row>
    <row r="6" spans="1:2" x14ac:dyDescent="0.25">
      <c r="A6" s="27" t="s">
        <v>425</v>
      </c>
      <c r="B6" s="28">
        <v>528974.13</v>
      </c>
    </row>
    <row r="7" spans="1:2" x14ac:dyDescent="0.25">
      <c r="A7" s="27" t="s">
        <v>388</v>
      </c>
      <c r="B7" s="28">
        <v>521978.32999999996</v>
      </c>
    </row>
    <row r="8" spans="1:2" x14ac:dyDescent="0.25">
      <c r="A8" s="27" t="s">
        <v>428</v>
      </c>
      <c r="B8" s="28">
        <v>468686.05</v>
      </c>
    </row>
    <row r="9" spans="1:2" x14ac:dyDescent="0.25">
      <c r="A9" s="27" t="s">
        <v>442</v>
      </c>
      <c r="B9" s="28">
        <v>454371.86</v>
      </c>
    </row>
    <row r="10" spans="1:2" x14ac:dyDescent="0.25">
      <c r="A10" s="27" t="s">
        <v>393</v>
      </c>
      <c r="B10" s="28">
        <v>454290.10000000003</v>
      </c>
    </row>
    <row r="11" spans="1:2" x14ac:dyDescent="0.25">
      <c r="A11" s="27" t="s">
        <v>440</v>
      </c>
      <c r="B11" s="28">
        <v>439966.93000000005</v>
      </c>
    </row>
    <row r="12" spans="1:2" x14ac:dyDescent="0.25">
      <c r="A12" s="27" t="s">
        <v>383</v>
      </c>
      <c r="B12" s="28">
        <v>426260.43999999989</v>
      </c>
    </row>
    <row r="13" spans="1:2" x14ac:dyDescent="0.25">
      <c r="A13" s="27" t="s">
        <v>415</v>
      </c>
      <c r="B13" s="28">
        <v>355796.21</v>
      </c>
    </row>
    <row r="14" spans="1:2" x14ac:dyDescent="0.25">
      <c r="A14" s="27" t="s">
        <v>423</v>
      </c>
      <c r="B14" s="28">
        <v>343582.08</v>
      </c>
    </row>
    <row r="15" spans="1:2" x14ac:dyDescent="0.25">
      <c r="A15" s="27" t="s">
        <v>421</v>
      </c>
      <c r="B15" s="28">
        <v>331293.23</v>
      </c>
    </row>
    <row r="16" spans="1:2" x14ac:dyDescent="0.25">
      <c r="A16" s="27" t="s">
        <v>410</v>
      </c>
      <c r="B16" s="28">
        <v>329434.69</v>
      </c>
    </row>
    <row r="17" spans="1:3" x14ac:dyDescent="0.25">
      <c r="A17" s="27" t="s">
        <v>509</v>
      </c>
      <c r="B17" s="28">
        <v>297207.47999999992</v>
      </c>
    </row>
    <row r="18" spans="1:3" x14ac:dyDescent="0.25">
      <c r="A18" s="27" t="s">
        <v>480</v>
      </c>
      <c r="B18" s="28">
        <v>235349.49999999997</v>
      </c>
    </row>
    <row r="19" spans="1:3" x14ac:dyDescent="0.25">
      <c r="A19" s="27" t="s">
        <v>473</v>
      </c>
      <c r="B19" s="28">
        <v>190741.12</v>
      </c>
    </row>
    <row r="20" spans="1:3" x14ac:dyDescent="0.25">
      <c r="A20" s="27" t="s">
        <v>464</v>
      </c>
      <c r="B20" s="28">
        <v>176645.97999999998</v>
      </c>
    </row>
    <row r="21" spans="1:3" x14ac:dyDescent="0.25">
      <c r="A21" s="27" t="s">
        <v>437</v>
      </c>
      <c r="B21" s="28">
        <v>172111.6</v>
      </c>
    </row>
    <row r="22" spans="1:3" x14ac:dyDescent="0.25">
      <c r="A22" s="27" t="s">
        <v>671</v>
      </c>
      <c r="B22" s="31">
        <v>7537191.7599999998</v>
      </c>
    </row>
    <row r="24" spans="1:3" x14ac:dyDescent="0.25">
      <c r="A24" s="6" t="s">
        <v>673</v>
      </c>
    </row>
    <row r="25" spans="1:3" x14ac:dyDescent="0.25">
      <c r="A25" s="26" t="s">
        <v>0</v>
      </c>
      <c r="B25" s="17" t="s">
        <v>681</v>
      </c>
      <c r="C25" t="s">
        <v>688</v>
      </c>
    </row>
    <row r="26" spans="1:3" x14ac:dyDescent="0.25">
      <c r="A26" s="27" t="s">
        <v>397</v>
      </c>
      <c r="B26" s="28">
        <v>650977.00000000012</v>
      </c>
    </row>
    <row r="27" spans="1:3" x14ac:dyDescent="0.25">
      <c r="A27" s="27" t="s">
        <v>406</v>
      </c>
      <c r="B27" s="28">
        <v>618999.53</v>
      </c>
    </row>
    <row r="28" spans="1:3" x14ac:dyDescent="0.25">
      <c r="A28" s="27" t="s">
        <v>431</v>
      </c>
      <c r="B28" s="28">
        <v>540525.50000000012</v>
      </c>
    </row>
    <row r="29" spans="1:3" x14ac:dyDescent="0.25">
      <c r="A29" s="27" t="s">
        <v>425</v>
      </c>
      <c r="B29" s="28">
        <v>528974.13</v>
      </c>
    </row>
    <row r="30" spans="1:3" x14ac:dyDescent="0.25">
      <c r="A30" s="27" t="s">
        <v>388</v>
      </c>
      <c r="B30" s="28">
        <v>521978.32999999996</v>
      </c>
    </row>
    <row r="31" spans="1:3" x14ac:dyDescent="0.25">
      <c r="A31" s="27" t="s">
        <v>671</v>
      </c>
      <c r="B31" s="28">
        <v>2861454.49</v>
      </c>
    </row>
    <row r="33" spans="1:2" x14ac:dyDescent="0.25">
      <c r="A33" s="6" t="s">
        <v>674</v>
      </c>
    </row>
    <row r="34" spans="1:2" x14ac:dyDescent="0.25">
      <c r="A34" s="26" t="s">
        <v>382</v>
      </c>
      <c r="B34" s="17" t="s">
        <v>682</v>
      </c>
    </row>
    <row r="35" spans="1:2" x14ac:dyDescent="0.25">
      <c r="A35" s="27" t="s">
        <v>427</v>
      </c>
      <c r="B35" s="29">
        <v>200639</v>
      </c>
    </row>
    <row r="36" spans="1:2" x14ac:dyDescent="0.25">
      <c r="A36" s="27" t="s">
        <v>396</v>
      </c>
      <c r="B36" s="29">
        <v>179204</v>
      </c>
    </row>
    <row r="37" spans="1:2" x14ac:dyDescent="0.25">
      <c r="A37" s="27" t="s">
        <v>392</v>
      </c>
      <c r="B37" s="29">
        <v>166328</v>
      </c>
    </row>
    <row r="38" spans="1:2" x14ac:dyDescent="0.25">
      <c r="A38" s="27" t="s">
        <v>463</v>
      </c>
      <c r="B38" s="29">
        <v>161177</v>
      </c>
    </row>
    <row r="39" spans="1:2" x14ac:dyDescent="0.25">
      <c r="A39" s="27" t="s">
        <v>436</v>
      </c>
      <c r="B39" s="29">
        <v>149939</v>
      </c>
    </row>
    <row r="40" spans="1:2" x14ac:dyDescent="0.25">
      <c r="A40" s="27" t="s">
        <v>405</v>
      </c>
      <c r="B40" s="29">
        <v>140397</v>
      </c>
    </row>
    <row r="41" spans="1:2" x14ac:dyDescent="0.25">
      <c r="A41" s="27" t="s">
        <v>417</v>
      </c>
      <c r="B41" s="29">
        <v>120660</v>
      </c>
    </row>
    <row r="42" spans="1:2" x14ac:dyDescent="0.25">
      <c r="A42" s="27" t="s">
        <v>400</v>
      </c>
      <c r="B42" s="29">
        <v>91002</v>
      </c>
    </row>
    <row r="43" spans="1:2" x14ac:dyDescent="0.25">
      <c r="A43" s="27" t="s">
        <v>414</v>
      </c>
      <c r="B43" s="29">
        <v>83143</v>
      </c>
    </row>
    <row r="44" spans="1:2" x14ac:dyDescent="0.25">
      <c r="A44" s="27" t="s">
        <v>408</v>
      </c>
      <c r="B44" s="29">
        <v>60535</v>
      </c>
    </row>
    <row r="45" spans="1:2" x14ac:dyDescent="0.25">
      <c r="A45" s="27" t="s">
        <v>387</v>
      </c>
      <c r="B45" s="29">
        <v>3000</v>
      </c>
    </row>
    <row r="46" spans="1:2" x14ac:dyDescent="0.25">
      <c r="A46" s="27" t="s">
        <v>671</v>
      </c>
      <c r="B46" s="29">
        <v>1356024</v>
      </c>
    </row>
    <row r="48" spans="1:2" x14ac:dyDescent="0.25">
      <c r="A48" s="6" t="s">
        <v>675</v>
      </c>
    </row>
    <row r="49" spans="1:5" x14ac:dyDescent="0.25">
      <c r="A49" s="26" t="s">
        <v>381</v>
      </c>
      <c r="B49" s="17" t="s">
        <v>681</v>
      </c>
    </row>
    <row r="50" spans="1:5" x14ac:dyDescent="0.25">
      <c r="A50" s="27" t="s">
        <v>403</v>
      </c>
      <c r="B50" s="28">
        <v>1360788.7299999997</v>
      </c>
    </row>
    <row r="51" spans="1:5" x14ac:dyDescent="0.25">
      <c r="A51" s="27" t="s">
        <v>401</v>
      </c>
      <c r="B51" s="28">
        <v>950953.55</v>
      </c>
    </row>
    <row r="52" spans="1:5" x14ac:dyDescent="0.25">
      <c r="A52" s="27" t="s">
        <v>394</v>
      </c>
      <c r="B52" s="28">
        <v>900251.92000000016</v>
      </c>
    </row>
    <row r="53" spans="1:5" x14ac:dyDescent="0.25">
      <c r="A53" s="27" t="s">
        <v>411</v>
      </c>
      <c r="B53" s="28">
        <v>873031.37</v>
      </c>
    </row>
    <row r="54" spans="1:5" x14ac:dyDescent="0.25">
      <c r="A54" s="27" t="s">
        <v>433</v>
      </c>
      <c r="B54" s="28">
        <v>868558.9</v>
      </c>
    </row>
    <row r="55" spans="1:5" x14ac:dyDescent="0.25">
      <c r="A55" s="27" t="s">
        <v>453</v>
      </c>
      <c r="B55" s="28">
        <v>837553.37000000011</v>
      </c>
    </row>
    <row r="56" spans="1:5" x14ac:dyDescent="0.25">
      <c r="A56" s="27" t="s">
        <v>389</v>
      </c>
      <c r="B56" s="28">
        <v>832050.5</v>
      </c>
    </row>
    <row r="57" spans="1:5" x14ac:dyDescent="0.25">
      <c r="A57" s="27" t="s">
        <v>418</v>
      </c>
      <c r="B57" s="28">
        <v>819895.70000000007</v>
      </c>
    </row>
    <row r="58" spans="1:5" x14ac:dyDescent="0.25">
      <c r="A58" s="27" t="s">
        <v>667</v>
      </c>
      <c r="B58" s="28">
        <v>55521.799999999996</v>
      </c>
    </row>
    <row r="59" spans="1:5" x14ac:dyDescent="0.25">
      <c r="A59" s="27" t="s">
        <v>669</v>
      </c>
      <c r="B59" s="28">
        <v>29585.920000000002</v>
      </c>
    </row>
    <row r="60" spans="1:5" x14ac:dyDescent="0.25">
      <c r="A60" s="27" t="s">
        <v>384</v>
      </c>
      <c r="B60" s="28">
        <v>9000</v>
      </c>
    </row>
    <row r="61" spans="1:5" x14ac:dyDescent="0.25">
      <c r="A61" s="27" t="s">
        <v>671</v>
      </c>
      <c r="B61" s="28">
        <v>7537191.7599999998</v>
      </c>
    </row>
    <row r="63" spans="1:5" x14ac:dyDescent="0.25">
      <c r="A63" s="35" t="s">
        <v>683</v>
      </c>
      <c r="B63" s="35"/>
    </row>
    <row r="64" spans="1:5" x14ac:dyDescent="0.25">
      <c r="A64" s="26" t="s">
        <v>682</v>
      </c>
      <c r="B64" s="26" t="s">
        <v>684</v>
      </c>
      <c r="C64" s="17"/>
      <c r="D64" s="17"/>
      <c r="E64" s="17"/>
    </row>
    <row r="65" spans="1:5" x14ac:dyDescent="0.25">
      <c r="A65" s="26" t="s">
        <v>0</v>
      </c>
      <c r="B65" s="17" t="s">
        <v>678</v>
      </c>
      <c r="C65" s="17" t="s">
        <v>679</v>
      </c>
      <c r="D65" s="17" t="s">
        <v>680</v>
      </c>
      <c r="E65" s="17" t="s">
        <v>671</v>
      </c>
    </row>
    <row r="66" spans="1:5" x14ac:dyDescent="0.25">
      <c r="A66" s="27" t="s">
        <v>442</v>
      </c>
      <c r="B66" s="29">
        <v>31595</v>
      </c>
      <c r="C66" s="29"/>
      <c r="D66" s="29">
        <v>49292</v>
      </c>
      <c r="E66" s="29">
        <v>80887</v>
      </c>
    </row>
    <row r="67" spans="1:5" x14ac:dyDescent="0.25">
      <c r="A67" s="27" t="s">
        <v>388</v>
      </c>
      <c r="B67" s="29">
        <v>19577</v>
      </c>
      <c r="C67" s="29"/>
      <c r="D67" s="29">
        <v>82329</v>
      </c>
      <c r="E67" s="29">
        <v>101906</v>
      </c>
    </row>
    <row r="68" spans="1:5" x14ac:dyDescent="0.25">
      <c r="A68" s="27" t="s">
        <v>397</v>
      </c>
      <c r="B68" s="29">
        <v>42234</v>
      </c>
      <c r="C68" s="29"/>
      <c r="D68" s="29">
        <v>55758</v>
      </c>
      <c r="E68" s="29">
        <v>97992</v>
      </c>
    </row>
    <row r="69" spans="1:5" x14ac:dyDescent="0.25">
      <c r="A69" s="27" t="s">
        <v>428</v>
      </c>
      <c r="B69" s="29">
        <v>39539</v>
      </c>
      <c r="C69" s="29"/>
      <c r="D69" s="29">
        <v>27370</v>
      </c>
      <c r="E69" s="29">
        <v>66909</v>
      </c>
    </row>
    <row r="70" spans="1:5" x14ac:dyDescent="0.25">
      <c r="A70" s="27" t="s">
        <v>415</v>
      </c>
      <c r="B70" s="29">
        <v>42194</v>
      </c>
      <c r="C70" s="29"/>
      <c r="D70" s="29">
        <v>28420</v>
      </c>
      <c r="E70" s="29">
        <v>70614</v>
      </c>
    </row>
    <row r="71" spans="1:5" x14ac:dyDescent="0.25">
      <c r="A71" s="27" t="s">
        <v>423</v>
      </c>
      <c r="B71" s="29">
        <v>39645</v>
      </c>
      <c r="C71" s="29"/>
      <c r="D71" s="29">
        <v>43073</v>
      </c>
      <c r="E71" s="29">
        <v>82718</v>
      </c>
    </row>
    <row r="72" spans="1:5" x14ac:dyDescent="0.25">
      <c r="A72" s="27" t="s">
        <v>421</v>
      </c>
      <c r="B72" s="29">
        <v>30534</v>
      </c>
      <c r="C72" s="29">
        <v>6483</v>
      </c>
      <c r="D72" s="29">
        <v>43120</v>
      </c>
      <c r="E72" s="29">
        <v>80137</v>
      </c>
    </row>
    <row r="73" spans="1:5" x14ac:dyDescent="0.25">
      <c r="A73" s="27" t="s">
        <v>393</v>
      </c>
      <c r="B73" s="29">
        <v>62227</v>
      </c>
      <c r="C73" s="29">
        <v>3999</v>
      </c>
      <c r="D73" s="29">
        <v>39112</v>
      </c>
      <c r="E73" s="29">
        <v>105338</v>
      </c>
    </row>
    <row r="74" spans="1:5" x14ac:dyDescent="0.25">
      <c r="A74" s="27" t="s">
        <v>440</v>
      </c>
      <c r="B74" s="29">
        <v>30796</v>
      </c>
      <c r="C74" s="29"/>
      <c r="D74" s="29">
        <v>39579</v>
      </c>
      <c r="E74" s="29">
        <v>70375</v>
      </c>
    </row>
    <row r="75" spans="1:5" x14ac:dyDescent="0.25">
      <c r="A75" s="27" t="s">
        <v>431</v>
      </c>
      <c r="B75" s="29">
        <v>33757</v>
      </c>
      <c r="C75" s="29"/>
      <c r="D75" s="29">
        <v>55879</v>
      </c>
      <c r="E75" s="29">
        <v>89636</v>
      </c>
    </row>
    <row r="76" spans="1:5" x14ac:dyDescent="0.25">
      <c r="A76" s="27" t="s">
        <v>437</v>
      </c>
      <c r="B76" s="29">
        <v>6912</v>
      </c>
      <c r="C76" s="29"/>
      <c r="D76" s="29">
        <v>18649</v>
      </c>
      <c r="E76" s="29">
        <v>25561</v>
      </c>
    </row>
    <row r="77" spans="1:5" x14ac:dyDescent="0.25">
      <c r="A77" s="27" t="s">
        <v>425</v>
      </c>
      <c r="B77" s="29">
        <v>53682</v>
      </c>
      <c r="C77" s="29">
        <v>9826</v>
      </c>
      <c r="D77" s="29">
        <v>33837</v>
      </c>
      <c r="E77" s="29">
        <v>97345</v>
      </c>
    </row>
    <row r="78" spans="1:5" x14ac:dyDescent="0.25">
      <c r="A78" s="27" t="s">
        <v>464</v>
      </c>
      <c r="B78" s="29">
        <v>20969</v>
      </c>
      <c r="C78" s="29"/>
      <c r="D78" s="29">
        <v>13853</v>
      </c>
      <c r="E78" s="29">
        <v>34822</v>
      </c>
    </row>
    <row r="79" spans="1:5" x14ac:dyDescent="0.25">
      <c r="A79" s="27" t="s">
        <v>509</v>
      </c>
      <c r="B79" s="29">
        <v>13017</v>
      </c>
      <c r="C79" s="29"/>
      <c r="D79" s="29">
        <v>31867</v>
      </c>
      <c r="E79" s="29">
        <v>44884</v>
      </c>
    </row>
    <row r="80" spans="1:5" x14ac:dyDescent="0.25">
      <c r="A80" s="27" t="s">
        <v>410</v>
      </c>
      <c r="B80" s="29">
        <v>20544</v>
      </c>
      <c r="C80" s="29"/>
      <c r="D80" s="29">
        <v>29971</v>
      </c>
      <c r="E80" s="29">
        <v>50515</v>
      </c>
    </row>
    <row r="81" spans="1:5" x14ac:dyDescent="0.25">
      <c r="A81" s="27" t="s">
        <v>383</v>
      </c>
      <c r="B81" s="29">
        <v>19190</v>
      </c>
      <c r="C81" s="29"/>
      <c r="D81" s="29">
        <v>54716</v>
      </c>
      <c r="E81" s="29">
        <v>73906</v>
      </c>
    </row>
    <row r="82" spans="1:5" x14ac:dyDescent="0.25">
      <c r="A82" s="27" t="s">
        <v>473</v>
      </c>
      <c r="B82" s="29">
        <v>19188</v>
      </c>
      <c r="C82" s="29"/>
      <c r="D82" s="29">
        <v>20676</v>
      </c>
      <c r="E82" s="29">
        <v>39864</v>
      </c>
    </row>
    <row r="83" spans="1:5" x14ac:dyDescent="0.25">
      <c r="A83" s="27" t="s">
        <v>406</v>
      </c>
      <c r="B83" s="29">
        <v>50021</v>
      </c>
      <c r="C83" s="29"/>
      <c r="D83" s="29">
        <v>47572</v>
      </c>
      <c r="E83" s="29">
        <v>97593</v>
      </c>
    </row>
    <row r="84" spans="1:5" x14ac:dyDescent="0.25">
      <c r="A84" s="27" t="s">
        <v>480</v>
      </c>
      <c r="B84" s="29">
        <v>32322</v>
      </c>
      <c r="C84" s="29"/>
      <c r="D84" s="29">
        <v>12700</v>
      </c>
      <c r="E84" s="29">
        <v>45022</v>
      </c>
    </row>
    <row r="85" spans="1:5" x14ac:dyDescent="0.25">
      <c r="A85" s="27" t="s">
        <v>671</v>
      </c>
      <c r="B85" s="29">
        <v>607943</v>
      </c>
      <c r="C85" s="29">
        <v>20308</v>
      </c>
      <c r="D85" s="29">
        <v>727773</v>
      </c>
      <c r="E85" s="29">
        <v>1356024</v>
      </c>
    </row>
    <row r="87" spans="1:5" x14ac:dyDescent="0.25">
      <c r="A87" s="36" t="s">
        <v>685</v>
      </c>
      <c r="B87" s="36"/>
    </row>
    <row r="88" spans="1:5" x14ac:dyDescent="0.25">
      <c r="A88" s="26" t="s">
        <v>681</v>
      </c>
      <c r="B88" s="26" t="s">
        <v>684</v>
      </c>
      <c r="C88" s="17"/>
      <c r="D88" s="17"/>
      <c r="E88" s="17"/>
    </row>
    <row r="89" spans="1:5" x14ac:dyDescent="0.25">
      <c r="A89" s="26" t="s">
        <v>0</v>
      </c>
      <c r="B89" s="17" t="s">
        <v>678</v>
      </c>
      <c r="C89" s="17" t="s">
        <v>679</v>
      </c>
      <c r="D89" s="17" t="s">
        <v>680</v>
      </c>
      <c r="E89" s="17" t="s">
        <v>671</v>
      </c>
    </row>
    <row r="90" spans="1:5" x14ac:dyDescent="0.25">
      <c r="A90" s="27" t="s">
        <v>442</v>
      </c>
      <c r="B90" s="28">
        <v>174007.38</v>
      </c>
      <c r="C90" s="28"/>
      <c r="D90" s="28">
        <v>280364.48</v>
      </c>
      <c r="E90" s="28">
        <v>454371.86</v>
      </c>
    </row>
    <row r="91" spans="1:5" x14ac:dyDescent="0.25">
      <c r="A91" s="27" t="s">
        <v>388</v>
      </c>
      <c r="B91" s="28">
        <v>83642.080000000002</v>
      </c>
      <c r="C91" s="28"/>
      <c r="D91" s="28">
        <v>438336.25</v>
      </c>
      <c r="E91" s="28">
        <v>521978.33</v>
      </c>
    </row>
    <row r="92" spans="1:5" x14ac:dyDescent="0.25">
      <c r="A92" s="27" t="s">
        <v>397</v>
      </c>
      <c r="B92" s="28">
        <v>264567.2</v>
      </c>
      <c r="C92" s="28"/>
      <c r="D92" s="28">
        <v>386409.80000000005</v>
      </c>
      <c r="E92" s="28">
        <v>650977</v>
      </c>
    </row>
    <row r="93" spans="1:5" x14ac:dyDescent="0.25">
      <c r="A93" s="27" t="s">
        <v>428</v>
      </c>
      <c r="B93" s="28">
        <v>271711</v>
      </c>
      <c r="C93" s="28"/>
      <c r="D93" s="28">
        <v>196975.05</v>
      </c>
      <c r="E93" s="28">
        <v>468686.05</v>
      </c>
    </row>
    <row r="94" spans="1:5" x14ac:dyDescent="0.25">
      <c r="A94" s="27" t="s">
        <v>415</v>
      </c>
      <c r="B94" s="28">
        <v>222492.87</v>
      </c>
      <c r="C94" s="28"/>
      <c r="D94" s="28">
        <v>133303.34</v>
      </c>
      <c r="E94" s="28">
        <v>355796.20999999996</v>
      </c>
    </row>
    <row r="95" spans="1:5" x14ac:dyDescent="0.25">
      <c r="A95" s="27" t="s">
        <v>423</v>
      </c>
      <c r="B95" s="28">
        <v>215360.22999999998</v>
      </c>
      <c r="C95" s="28"/>
      <c r="D95" s="28">
        <v>128221.85</v>
      </c>
      <c r="E95" s="28">
        <v>343582.07999999996</v>
      </c>
    </row>
    <row r="96" spans="1:5" x14ac:dyDescent="0.25">
      <c r="A96" s="27" t="s">
        <v>421</v>
      </c>
      <c r="B96" s="28">
        <v>124455.82999999999</v>
      </c>
      <c r="C96" s="28">
        <v>27682.409999999996</v>
      </c>
      <c r="D96" s="28">
        <v>179154.99</v>
      </c>
      <c r="E96" s="28">
        <v>331293.23</v>
      </c>
    </row>
    <row r="97" spans="1:5" x14ac:dyDescent="0.25">
      <c r="A97" s="27" t="s">
        <v>393</v>
      </c>
      <c r="B97" s="28">
        <v>313523.09000000003</v>
      </c>
      <c r="C97" s="28">
        <v>14556.36</v>
      </c>
      <c r="D97" s="28">
        <v>126210.65000000002</v>
      </c>
      <c r="E97" s="28">
        <v>454290.10000000003</v>
      </c>
    </row>
    <row r="98" spans="1:5" x14ac:dyDescent="0.25">
      <c r="A98" s="27" t="s">
        <v>440</v>
      </c>
      <c r="B98" s="28">
        <v>206843.02999999997</v>
      </c>
      <c r="C98" s="28"/>
      <c r="D98" s="28">
        <v>233123.9</v>
      </c>
      <c r="E98" s="28">
        <v>439966.92999999993</v>
      </c>
    </row>
    <row r="99" spans="1:5" x14ac:dyDescent="0.25">
      <c r="A99" s="27" t="s">
        <v>431</v>
      </c>
      <c r="B99" s="28">
        <v>200949.29000000004</v>
      </c>
      <c r="C99" s="28"/>
      <c r="D99" s="28">
        <v>339576.21</v>
      </c>
      <c r="E99" s="28">
        <v>540525.5</v>
      </c>
    </row>
    <row r="100" spans="1:5" x14ac:dyDescent="0.25">
      <c r="A100" s="27" t="s">
        <v>437</v>
      </c>
      <c r="B100" s="28">
        <v>52791.600000000006</v>
      </c>
      <c r="C100" s="28"/>
      <c r="D100" s="28">
        <v>119320</v>
      </c>
      <c r="E100" s="28">
        <v>172111.6</v>
      </c>
    </row>
    <row r="101" spans="1:5" x14ac:dyDescent="0.25">
      <c r="A101" s="27" t="s">
        <v>425</v>
      </c>
      <c r="B101" s="28">
        <v>295429.94</v>
      </c>
      <c r="C101" s="28">
        <v>78116.7</v>
      </c>
      <c r="D101" s="28">
        <v>155427.49</v>
      </c>
      <c r="E101" s="28">
        <v>528974.13</v>
      </c>
    </row>
    <row r="102" spans="1:5" x14ac:dyDescent="0.25">
      <c r="A102" s="27" t="s">
        <v>464</v>
      </c>
      <c r="B102" s="28">
        <v>120321.41</v>
      </c>
      <c r="C102" s="28"/>
      <c r="D102" s="28">
        <v>56324.57</v>
      </c>
      <c r="E102" s="28">
        <v>176645.98</v>
      </c>
    </row>
    <row r="103" spans="1:5" x14ac:dyDescent="0.25">
      <c r="A103" s="27" t="s">
        <v>509</v>
      </c>
      <c r="B103" s="28">
        <v>99792.450000000012</v>
      </c>
      <c r="C103" s="28"/>
      <c r="D103" s="28">
        <v>197415.03</v>
      </c>
      <c r="E103" s="28">
        <v>297207.48</v>
      </c>
    </row>
    <row r="104" spans="1:5" x14ac:dyDescent="0.25">
      <c r="A104" s="27" t="s">
        <v>410</v>
      </c>
      <c r="B104" s="28">
        <v>119467.91</v>
      </c>
      <c r="C104" s="28"/>
      <c r="D104" s="28">
        <v>209966.78000000003</v>
      </c>
      <c r="E104" s="28">
        <v>329434.69000000006</v>
      </c>
    </row>
    <row r="105" spans="1:5" x14ac:dyDescent="0.25">
      <c r="A105" s="27" t="s">
        <v>383</v>
      </c>
      <c r="B105" s="28">
        <v>95460.34</v>
      </c>
      <c r="C105" s="28"/>
      <c r="D105" s="28">
        <v>330800.09999999992</v>
      </c>
      <c r="E105" s="28">
        <v>426260.43999999994</v>
      </c>
    </row>
    <row r="106" spans="1:5" x14ac:dyDescent="0.25">
      <c r="A106" s="27" t="s">
        <v>473</v>
      </c>
      <c r="B106" s="28">
        <v>91834</v>
      </c>
      <c r="C106" s="28"/>
      <c r="D106" s="28">
        <v>98907.12</v>
      </c>
      <c r="E106" s="28">
        <v>190741.12</v>
      </c>
    </row>
    <row r="107" spans="1:5" x14ac:dyDescent="0.25">
      <c r="A107" s="27" t="s">
        <v>406</v>
      </c>
      <c r="B107" s="28">
        <v>389765.42999999993</v>
      </c>
      <c r="C107" s="28"/>
      <c r="D107" s="28">
        <v>229234.1</v>
      </c>
      <c r="E107" s="28">
        <v>618999.52999999991</v>
      </c>
    </row>
    <row r="108" spans="1:5" x14ac:dyDescent="0.25">
      <c r="A108" s="27" t="s">
        <v>480</v>
      </c>
      <c r="B108" s="28">
        <v>184182.1</v>
      </c>
      <c r="C108" s="28"/>
      <c r="D108" s="28">
        <v>51167.399999999994</v>
      </c>
      <c r="E108" s="28">
        <v>235349.5</v>
      </c>
    </row>
    <row r="109" spans="1:5" x14ac:dyDescent="0.25">
      <c r="A109" s="27" t="s">
        <v>671</v>
      </c>
      <c r="B109" s="28">
        <v>3526597.18</v>
      </c>
      <c r="C109" s="28">
        <v>120355.47</v>
      </c>
      <c r="D109" s="28">
        <v>3890239.11</v>
      </c>
      <c r="E109" s="28">
        <v>7537191.7600000016</v>
      </c>
    </row>
    <row r="111" spans="1:5" x14ac:dyDescent="0.25">
      <c r="A111" s="6" t="s">
        <v>686</v>
      </c>
    </row>
    <row r="112" spans="1:5" x14ac:dyDescent="0.25">
      <c r="A112" s="26" t="s">
        <v>381</v>
      </c>
      <c r="B112" s="17" t="s">
        <v>687</v>
      </c>
    </row>
    <row r="113" spans="1:2" x14ac:dyDescent="0.25">
      <c r="A113" s="27" t="s">
        <v>401</v>
      </c>
      <c r="B113" s="28">
        <v>5.6172413793103457</v>
      </c>
    </row>
    <row r="114" spans="1:2" x14ac:dyDescent="0.25">
      <c r="A114" s="27" t="s">
        <v>418</v>
      </c>
      <c r="B114" s="28">
        <v>4.7259459459459467</v>
      </c>
    </row>
    <row r="115" spans="1:2" x14ac:dyDescent="0.25">
      <c r="A115" s="27" t="s">
        <v>403</v>
      </c>
      <c r="B115" s="28">
        <v>6.5734285714285692</v>
      </c>
    </row>
    <row r="116" spans="1:2" x14ac:dyDescent="0.25">
      <c r="A116" s="27" t="s">
        <v>411</v>
      </c>
      <c r="B116" s="28">
        <v>5.1851724137931017</v>
      </c>
    </row>
    <row r="117" spans="1:2" x14ac:dyDescent="0.25">
      <c r="A117" s="27" t="s">
        <v>433</v>
      </c>
      <c r="B117" s="28">
        <v>5.8272000000000004</v>
      </c>
    </row>
    <row r="118" spans="1:2" x14ac:dyDescent="0.25">
      <c r="A118" s="27" t="s">
        <v>669</v>
      </c>
      <c r="B118" s="28">
        <v>3.64</v>
      </c>
    </row>
    <row r="119" spans="1:2" x14ac:dyDescent="0.25">
      <c r="A119" s="27" t="s">
        <v>394</v>
      </c>
      <c r="B119" s="28">
        <v>4.9380555555555556</v>
      </c>
    </row>
    <row r="120" spans="1:2" x14ac:dyDescent="0.25">
      <c r="A120" s="27" t="s">
        <v>389</v>
      </c>
      <c r="B120" s="28">
        <v>5.8934615384615388</v>
      </c>
    </row>
    <row r="121" spans="1:2" x14ac:dyDescent="0.25">
      <c r="A121" s="27" t="s">
        <v>384</v>
      </c>
      <c r="B121" s="28">
        <v>3</v>
      </c>
    </row>
    <row r="122" spans="1:2" x14ac:dyDescent="0.25">
      <c r="A122" s="27" t="s">
        <v>453</v>
      </c>
      <c r="B122" s="28">
        <v>5.7579166666666666</v>
      </c>
    </row>
    <row r="123" spans="1:2" x14ac:dyDescent="0.25">
      <c r="A123" s="27" t="s">
        <v>667</v>
      </c>
      <c r="B123" s="28">
        <v>7.22</v>
      </c>
    </row>
    <row r="124" spans="1:2" x14ac:dyDescent="0.25">
      <c r="A124" s="27" t="s">
        <v>671</v>
      </c>
      <c r="B124" s="28">
        <v>5.5202049180327926</v>
      </c>
    </row>
  </sheetData>
  <mergeCells count="2">
    <mergeCell ref="A63:B63"/>
    <mergeCell ref="A87:B87"/>
  </mergeCells>
  <pageMargins left="0.511811024" right="0.511811024" top="0.78740157499999996" bottom="0.78740157499999996" header="0.31496062000000002" footer="0.31496062000000002"/>
  <pageSetup paperSize="9" orientation="portrait"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9367D2-BBC6-4A24-AC12-9E20758800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Estoque</vt:lpstr>
      <vt:lpstr>Estoque Arrumado</vt:lpstr>
      <vt:lpstr>Análises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nicolas</cp:lastModifiedBy>
  <dcterms:created xsi:type="dcterms:W3CDTF">2022-02-03T14:41:51Z</dcterms:created>
  <dcterms:modified xsi:type="dcterms:W3CDTF">2026-03-29T21:50:15Z</dcterms:modified>
</cp:coreProperties>
</file>